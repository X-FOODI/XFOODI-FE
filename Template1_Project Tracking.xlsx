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odi\"/>
    </mc:Choice>
  </mc:AlternateContent>
  <bookViews>
    <workbookView xWindow="3195" yWindow="495" windowWidth="24705" windowHeight="16245" activeTab="4"/>
  </bookViews>
  <sheets>
    <sheet name="Project" sheetId="1" r:id="rId1"/>
    <sheet name="Iter1" sheetId="2" r:id="rId2"/>
    <sheet name="Iter2" sheetId="3" r:id="rId3"/>
    <sheet name="Iter3" sheetId="4" r:id="rId4"/>
    <sheet name="Iter4" sheetId="5" r:id="rId5"/>
  </sheets>
  <definedNames>
    <definedName name="_xlnm._FilterDatabase" localSheetId="0" hidden="1">Project!$A$3:$E$7</definedName>
  </definedNames>
  <calcPr calcId="162913"/>
</workbook>
</file>

<file path=xl/calcChain.xml><?xml version="1.0" encoding="utf-8"?>
<calcChain xmlns="http://schemas.openxmlformats.org/spreadsheetml/2006/main">
  <c r="A31" i="5" l="1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comments1.xml><?xml version="1.0" encoding="utf-8"?>
<comments xmlns="http://schemas.openxmlformats.org/spreadsheetml/2006/main">
  <authors>
    <author>KienNT</author>
  </authors>
  <commentList>
    <comment ref="G5" authorId="0" shapeId="0">
      <text>
        <r>
          <rPr>
            <sz val="10"/>
            <color rgb="FF000000"/>
            <rFont val="Arial"/>
          </rPr>
          <t>KienNT:
The name of section in the SRS (software requirement specification) document</t>
        </r>
      </text>
    </comment>
    <comment ref="H5" authorId="0" shapeId="0">
      <text>
        <r>
          <rPr>
            <sz val="10"/>
            <color rgb="FF000000"/>
            <rFont val="Arial"/>
          </rPr>
          <t>KienNT:
The name of section in the SDS (software design specification) document</t>
        </r>
      </text>
    </comment>
  </commentList>
</comments>
</file>

<file path=xl/comments2.xml><?xml version="1.0" encoding="utf-8"?>
<comments xmlns="http://schemas.openxmlformats.org/spreadsheetml/2006/main">
  <authors>
    <author>KienNT</author>
  </authors>
  <commentList>
    <comment ref="G5" authorId="0" shapeId="0">
      <text>
        <r>
          <rPr>
            <sz val="10"/>
            <color rgb="FF000000"/>
            <rFont val="Arial"/>
          </rPr>
          <t>KienNT:
The name of section in the SRS (software requirement specification) document</t>
        </r>
      </text>
    </comment>
    <comment ref="H5" authorId="0" shapeId="0">
      <text>
        <r>
          <rPr>
            <sz val="10"/>
            <color rgb="FF000000"/>
            <rFont val="Arial"/>
          </rPr>
          <t>KienNT:
The name of section in the SDS (software design specification) document</t>
        </r>
      </text>
    </comment>
  </commentList>
</comments>
</file>

<file path=xl/comments3.xml><?xml version="1.0" encoding="utf-8"?>
<comments xmlns="http://schemas.openxmlformats.org/spreadsheetml/2006/main">
  <authors>
    <author>KienNT</author>
  </authors>
  <commentList>
    <comment ref="G5" authorId="0" shapeId="0">
      <text>
        <r>
          <rPr>
            <sz val="10"/>
            <color rgb="FF000000"/>
            <rFont val="Arial"/>
          </rPr>
          <t>KienNT:
The name of section in the SRS (software requirement specification) document</t>
        </r>
      </text>
    </comment>
    <comment ref="H5" authorId="0" shapeId="0">
      <text>
        <r>
          <rPr>
            <sz val="10"/>
            <color rgb="FF000000"/>
            <rFont val="Arial"/>
          </rPr>
          <t>KienNT:
The name of section in the SDS (software design specification) document</t>
        </r>
      </text>
    </comment>
  </commentList>
</comments>
</file>

<file path=xl/comments4.xml><?xml version="1.0" encoding="utf-8"?>
<comments xmlns="http://schemas.openxmlformats.org/spreadsheetml/2006/main">
  <authors>
    <author>KienNT</author>
  </authors>
  <commentList>
    <comment ref="G5" authorId="0" shapeId="0">
      <text>
        <r>
          <rPr>
            <sz val="10"/>
            <color rgb="FF000000"/>
            <rFont val="Arial"/>
          </rPr>
          <t>KienNT:
The name of section in the SRS (software requirement specification) document</t>
        </r>
      </text>
    </comment>
    <comment ref="H5" authorId="0" shapeId="0">
      <text>
        <r>
          <rPr>
            <sz val="10"/>
            <color rgb="FF000000"/>
            <rFont val="Arial"/>
          </rPr>
          <t>KienNT:
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<sst xmlns="http://schemas.openxmlformats.org/spreadsheetml/2006/main" count="1186" uniqueCount="364">
  <si>
    <t>Total Project Tracking</t>
  </si>
  <si>
    <t>Information in columns A-E are filled during project initiation; columns F-J are filled by the end of each development iteration.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</si>
  <si>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</si>
  <si>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</si>
  <si>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</si>
  <si>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</si>
  <si>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</si>
  <si>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</si>
  <si>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</si>
  <si>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</si>
  <si>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</si>
  <si>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</si>
  <si>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Google OAuth 2.0 Sign-In &amp; Account Creation</t>
  </si>
  <si>
    <t>Authentication</t>
  </si>
  <si>
    <t>User, Customer, Staff, Admin</t>
  </si>
  <si>
    <t>Integrated Google OAuth 2.0 login interface with automatic user provisioning, JWT session storage, and global AuthContext synchronization.</t>
  </si>
  <si>
    <t>Châu Thành Trung</t>
  </si>
  <si>
    <t>Done</t>
  </si>
  <si>
    <t>iter1</t>
  </si>
  <si>
    <t>iter4</t>
  </si>
  <si>
    <t>Upgraded dynamic redirectUri and global popup callback handler</t>
  </si>
  <si>
    <t>Email Sign-In &amp; JWT Refresh Token Rotation</t>
  </si>
  <si>
    <t>Standard Email/Password login mechanism utilizing Access Token and Refresh Token rotation backed by Redis blacklist verification.</t>
  </si>
  <si>
    <t>none</t>
  </si>
  <si>
    <t>Multi-Tenant Subdomain Routing &amp; Dynamic CORS</t>
  </si>
  <si>
    <t>Architecture</t>
  </si>
  <si>
    <t>Platform Admin, Owner, Staff</t>
  </si>
  <si>
    <t>Flexible router resolving tenant subdomains ({tenant}.foodx), configuring dynamic CORS, and enforcing Prisma multi-tenant data isolation.</t>
  </si>
  <si>
    <t>Nguyễn Đình Thi</t>
  </si>
  <si>
    <t>Synchronized dynamic CORS matching Booca domain setup</t>
  </si>
  <si>
    <t>Forgot Password &amp; Email Reset Token Handler</t>
  </si>
  <si>
    <t>User, Customer</t>
  </si>
  <si>
    <t>Email password recovery service generating temporary verification tokens and UI forms for secure password reset.</t>
  </si>
  <si>
    <t>Nguyễn Đức Huy</t>
  </si>
  <si>
    <t>iter3</t>
  </si>
  <si>
    <t>Added direct password creation bridge for social login accounts</t>
  </si>
  <si>
    <t>Social Account Password Setup &amp; Reset Page</t>
  </si>
  <si>
    <t>Dedicated account management page enabling users who logged in via social providers to set up local credentials.</t>
  </si>
  <si>
    <t>Tenant Restaurant Application Onboarding Submission</t>
  </si>
  <si>
    <t>Tenant Onboarding</t>
  </si>
  <si>
    <t>Owner, Guest</t>
  </si>
  <si>
    <t>Restaurant onboarding registration portal for prospective owners to submit tenant applications, business details, and contact credentials.</t>
  </si>
  <si>
    <t>Category Management List &amp; CRUD Form</t>
  </si>
  <si>
    <t>Menu Management</t>
  </si>
  <si>
    <t>Owner, Admin</t>
  </si>
  <si>
    <t>Administrative management screen and forms to create, read, update, and delete menu categories (Appetizers, Mains, Drinks, Desserts).</t>
  </si>
  <si>
    <t>Category Display Order &amp; Status Toggle</t>
  </si>
  <si>
    <t>Interactive sorting interface allowing restaurant owners to reorder category display positions and toggle active availability.</t>
  </si>
  <si>
    <t>Dish &amp; Variant Options Management</t>
  </si>
  <si>
    <t>Detailed dish configuration interface for pricing, primary thumbnail images, category binding, out-of-stock toggles, and size variants.</t>
  </si>
  <si>
    <t>iter2</t>
  </si>
  <si>
    <t>Added flavor tag filters (vegan, spicy, savory, sweet)</t>
  </si>
  <si>
    <t>Dish Asset Upload &amp; Image Storage Processing</t>
  </si>
  <si>
    <t>Asset Management</t>
  </si>
  <si>
    <t>Asset management service handling dish image uploads to cloud storage bucket, image compression, and file format validation.</t>
  </si>
  <si>
    <t>Nguyễn Văn Linh</t>
  </si>
  <si>
    <t>Tenant Restaurant Profile &amp; Settings Configuration</t>
  </si>
  <si>
    <t>Restaurant Management</t>
  </si>
  <si>
    <t>Restaurant setup panel to manage brand identity: restaurant name, logo, banner cover, contact address, hotline, and operating hours.</t>
  </si>
  <si>
    <t>Integrated dynamic logo and banner rendering on platform landing page</t>
  </si>
  <si>
    <t>Multi-Tenant Landing Page &amp; Registration Request</t>
  </si>
  <si>
    <t>Landing Page</t>
  </si>
  <si>
    <t>Guest, Owner</t>
  </si>
  <si>
    <t>Platform promotional landing page highlighting XFoodi ecosystem features, subscription pricing tiers, and new tenant onboarding request form.</t>
  </si>
  <si>
    <t>Prisma Multi-Tenant Schema &amp; PostgreSQL Initialization</t>
  </si>
  <si>
    <t>Developer</t>
  </si>
  <si>
    <t>Core infrastructure initialization with Next.js 15, Express TypeScript backend, PostgreSQL Prisma ORM database models, and Redis configuration.</t>
  </si>
  <si>
    <t>Cloudflare Turnstile Bot Protection &amp; Security Guard</t>
  </si>
  <si>
    <t>Security</t>
  </si>
  <si>
    <t>All Users</t>
  </si>
  <si>
    <t>Cloudflare Turnstile CAPTCHA integration protecting authentication endpoints against automated brute-force attacks and bot spamming.</t>
  </si>
  <si>
    <t>QR Code Digital Menu Interface &amp; Search</t>
  </si>
  <si>
    <t>Customer Ordering</t>
  </si>
  <si>
    <t>Customer, Guest</t>
  </si>
  <si>
    <t>Mobile-optimized digital menu accessed via table QR code scanning, supporting category navigation, instant search, and dish detail previews.</t>
  </si>
  <si>
    <t>Flavor Tag Filtering (Vegan, Spicy, Savory, Sweet)</t>
  </si>
  <si>
    <t>Interactive dietary filter allowing customers to filter dishes by dietary preference and taste tags with instant UI fallback.</t>
  </si>
  <si>
    <t>Real-Time Table Cart Synchronization</t>
  </si>
  <si>
    <t>Synchronized shopping cart interface for table diners, calculating total pricing, custom item instructions, and real-time multi-device cart state.</t>
  </si>
  <si>
    <t>Added call-staff and assistance dispatch button</t>
  </si>
  <si>
    <t>Staff Assistance Request &amp; Table Calling (CALL_STAFF)</t>
  </si>
  <si>
    <t>Customer, Staff</t>
  </si>
  <si>
    <t>Instant table assistance trigger sending real-time socket events to floor staff for table service, napkin request, or bill inquiry.</t>
  </si>
  <si>
    <t>Fixed CALL_STAFF production socket broadcast routing</t>
  </si>
  <si>
    <t>Real-Time Kitchen Display System (KDS Board)</t>
  </si>
  <si>
    <t>Kitchen Operation</t>
  </si>
  <si>
    <t>Kitchen Staff, Chef</t>
  </si>
  <si>
    <t>Live order board receiving instant dining room orders via WebSockets/SignalR, displaying prep queues, cooking timers, and item fulfillment controls.</t>
  </si>
  <si>
    <t>Fixed SignalR chime alerts and added kitchen zone filtering</t>
  </si>
  <si>
    <t>Kitchen Order Item Status Update &amp; SignalR Notifications</t>
  </si>
  <si>
    <t>Kitchen Staff, Staff</t>
  </si>
  <si>
    <t>Interactive order state transition controls (Pending -&gt; Cooking -&gt; Ready) automatically pushing status alerts to floor staff devices.</t>
  </si>
  <si>
    <t>Interactive 2D Table Floor Layout Builder</t>
  </si>
  <si>
    <t>Table Management</t>
  </si>
  <si>
    <t>Owner, Manager, Staff</t>
  </si>
  <si>
    <t>Floor plan manager enabling drag-and-drop 2D table layout design, capacity assignment, zone partitioning, and table status tracking.</t>
  </si>
  <si>
    <t>Interactive 3D Table Layout Viewer (Three.js)</t>
  </si>
  <si>
    <t>Advanced 3D restaurant floor visualizer built with Three.js, rendering spatial table arrangements, occupancy status, and spatial camera controls.</t>
  </si>
  <si>
    <t>Online Reservation &amp; Table Booking</t>
  </si>
  <si>
    <t>Reservation</t>
  </si>
  <si>
    <t>Customer, Staff, Manager</t>
  </si>
  <si>
    <t>Public online table reservation form allowing customers to select date, time, party size, preferred dining zone, and deposit processing.</t>
  </si>
  <si>
    <t>Added self-healing reservation status logic and admin capacity bypass</t>
  </si>
  <si>
    <t>Automated Reservation Capacity &amp; Auto-Assignment</t>
  </si>
  <si>
    <t>Staff, Manager</t>
  </si>
  <si>
    <t>Algorithm automatically matching incoming reservations to available tables based on party size, seating capacity, and time slot availability.</t>
  </si>
  <si>
    <t>Reservation Confirmation Email Notification</t>
  </si>
  <si>
    <t>Notification</t>
  </si>
  <si>
    <t>Customer</t>
  </si>
  <si>
    <t>Automated transactional email dispatch sending booking confirmation details, unique Booking Code, QR check-in voucher, and cancellation terms.</t>
  </si>
  <si>
    <t>Table Deposit Rules Configuration</t>
  </si>
  <si>
    <t>Policy settings panel configuring required reservation deposit fees according to table types (4-seater, 8-seater, VIP banquet) and peak hours.</t>
  </si>
  <si>
    <t>Table Active Order History &amp; Item Tracking</t>
  </si>
  <si>
    <t>Order Management</t>
  </si>
  <si>
    <t>Real-time table order summary displaying ordered items, fulfilled dishes, pending kitchen items, subtotal calculation, and elapsed dining duration.</t>
  </si>
  <si>
    <t>Ingredient Inventory Stock &amp; Supply Recording</t>
  </si>
  <si>
    <t>Inventory Management</t>
  </si>
  <si>
    <t>Owner, Manager</t>
  </si>
  <si>
    <t>Inventory management system tracking restaurant raw ingredients, stock receipts, quantity adjustments, and unit cost records.</t>
  </si>
  <si>
    <t>Ingredient Category &amp; Low Stock Alert System</t>
  </si>
  <si>
    <t>Ingredient category organization interface supporting reorder threshold configuration and automated low stock alerts.</t>
  </si>
  <si>
    <t>SePay Automatic Bank Transfer Webhook Integration</t>
  </si>
  <si>
    <t>Payment</t>
  </si>
  <si>
    <t>Automated bank transfer payment gateway powered by SePay API webhook (POST /api/payments/sepay-webhook), parsing reference content to credit orders.</t>
  </si>
  <si>
    <t>SePay Dynamic VietQR Payment Generation</t>
  </si>
  <si>
    <t>Dynamic VietQR code generator (https://qr.sepay.vn/img) generating customized bank transfer QR codes with embedded order reference codes.</t>
  </si>
  <si>
    <t>PayOS Automated Deposit Refund &amp; Payout Gateway</t>
  </si>
  <si>
    <t>Payment &amp; Refund</t>
  </si>
  <si>
    <t>Automated reservation deposit refund system integrated with PayOS Payouts API (@payos/node payouts.create), extracting customer bank details (bankBin, accountNumber, accountName) for auto-refunding cancelled deposits.</t>
  </si>
  <si>
    <t>Added bankRefund metadata parser, transactional refund email alerts, and auto-refund timeout cron handler</t>
  </si>
  <si>
    <t>PayOS Direct Payout Testing &amp; Retry Queue Worker</t>
  </si>
  <si>
    <t>Platform Admin, Staff</t>
  </si>
  <si>
    <t>Public test payout endpoint (POST /api/wallet/payos-payout) and background retry worker (retry-refunds.ts) processing pending deposit refunds.</t>
  </si>
  <si>
    <t>Real-Time Cash Payment Settlement &amp; Change Calculation</t>
  </si>
  <si>
    <t>Staff, Cashier</t>
  </si>
  <si>
    <t>Cashier settlement screen allowing staff to confirm cash payments, calculate cashback change, and trigger socket PAYMENT_COMPLETED broadcasts.</t>
  </si>
  <si>
    <t>Added pre-flight auth token check and staff CASH_PAYMENT_TROUBLESHOOTING guide</t>
  </si>
  <si>
    <t>Cash Payment Pre-Flight Auth Token Validation Guard</t>
  </si>
  <si>
    <t>Pre-flight authorization verification guard preventing 401 token expiration failures during cash payment processing.</t>
  </si>
  <si>
    <t>MISA e-Invoice &amp; Automatic VAT Invoice Generation</t>
  </si>
  <si>
    <t>Billing &amp; Invoicing</t>
  </si>
  <si>
    <t>Owner, Cashier</t>
  </si>
  <si>
    <t>Electronic tax invoice module integrated with MISA e-Invoice API to issue official VAT tax invoices for completed restaurant orders.</t>
  </si>
  <si>
    <t>Tenant Digital Wallet &amp; Financial Balance System</t>
  </si>
  <si>
    <t>Finance &amp; Wallet</t>
  </si>
  <si>
    <t>Internal digital wallet management system for restaurant tenants, supporting balance top-ups, transaction logs, and payout withdrawals.</t>
  </si>
  <si>
    <t>Voucher Management List &amp; Creation Form</t>
  </si>
  <si>
    <t>Promotions</t>
  </si>
  <si>
    <t>Promotion management panel for creating, editing, and disabling percentage or fixed-amount discount vouchers with date range validation.</t>
  </si>
  <si>
    <t>Completed full FE UI integration &amp; BE API logic for production vouchers</t>
  </si>
  <si>
    <t>Voucher Application Logic &amp; Validation Bridge</t>
  </si>
  <si>
    <t>Order checkout discount engine validating voucher eligibility, minimum spend thresholds, user redemption limits, and automatic total deduction.</t>
  </si>
  <si>
    <t>Eliminated static mock data, connected real BE endpoints with data normalization bridge</t>
  </si>
  <si>
    <t>Loyalty Points Calculation &amp; Tier Assignment</t>
  </si>
  <si>
    <t>Customer, Owner</t>
  </si>
  <si>
    <t>Customer reward system automatically earning points per completed order, calculating membership tiers (Bronze, Silver, Gold, Diamond), and perk unlocks.</t>
  </si>
  <si>
    <t>Connected live loyalty tier points API with safe state normalization</t>
  </si>
  <si>
    <t>Employee Management Directory &amp; Role Granting</t>
  </si>
  <si>
    <t>Employee Management</t>
  </si>
  <si>
    <t>Staff management console for adding staff accounts, assigning system roles (Owner, Manager, Staff, Kitchen), and updating active employment status.</t>
  </si>
  <si>
    <t>Staff Status Filtering &amp; Work Schedule Assignment</t>
  </si>
  <si>
    <t>Employee status query interface supporting multi-criteria filtering, active/inactive toggles, and work shift assignments.</t>
  </si>
  <si>
    <t>Fixed status filter query logic to support ALL status selection</t>
  </si>
  <si>
    <t>Customer Directory &amp; Booking History</t>
  </si>
  <si>
    <t>Customer Management</t>
  </si>
  <si>
    <t>Customer relationship directory listing registered diners, phone contacts, lifetime spend totals, reservation counts, and last visit timestamps.</t>
  </si>
  <si>
    <t>Customer Data Excel Export Generator</t>
  </si>
  <si>
    <t>Export utility generating formatted Excel spreadsheets containing customer contact records, spending statistics, and reservation logs.</t>
  </si>
  <si>
    <t>User Profile Management &amp; Avatar Upload</t>
  </si>
  <si>
    <t>Account Settings</t>
  </si>
  <si>
    <t>User, Customer, Staff</t>
  </si>
  <si>
    <t>Personal account dashboard enabling users to view profile metrics, update contact information, upload profile avatars, and change passwords.</t>
  </si>
  <si>
    <t>Security Violation Account Blocking</t>
  </si>
  <si>
    <t>Platform Admin, Owner</t>
  </si>
  <si>
    <t>Security enforcement module blocking disabled or banned user accounts across Google OAuth and Phone login authentication flows.</t>
  </si>
  <si>
    <t>Platform System Announcements Management</t>
  </si>
  <si>
    <t>Communication</t>
  </si>
  <si>
    <t>Broadcast announcement system allowing super admins to publish system maintenance alerts and platform updates to all restaurant tenants.</t>
  </si>
  <si>
    <t>AI Knowledge Base Document Upload &amp; Batching</t>
  </si>
  <si>
    <t>AI Assistant</t>
  </si>
  <si>
    <t>Knowledge Base upload manager handling PDF/DOCX menu documents with sequential batching (3 files/req) to prevent 502 Proxy gateway timeouts.</t>
  </si>
  <si>
    <t>Implemented sequential batch processing to eliminate 502 proxy errors</t>
  </si>
  <si>
    <t>Vector Indexing &amp; Admin Domain Multi-Tenant Fallback</t>
  </si>
  <si>
    <t>Background AI indexing worker parsing document chunks into vector embeddings with restaurant context resolution for admin domain uploads.</t>
  </si>
  <si>
    <t>Added admin domain restaurant fallback for KB uploads</t>
  </si>
  <si>
    <t>AI Assistant RAG Food Recommendation Chatbot</t>
  </si>
  <si>
    <t>Interactive AI chat widget "XFoodi Assistant" providing conversational menu recommendations, ingredient answers, and dietary guidance using RAG.</t>
  </si>
  <si>
    <t>AI Smart Cart Up-selling &amp; Flavor Matchmaking</t>
  </si>
  <si>
    <t>AI recommendation engine analyzing active cart items to suggest complementary side dishes, beverage pairings, and best-selling combos.</t>
  </si>
  <si>
    <t>Enhanced prompt for taste tags (sweet, spicy, savory, alcohol) with fallback</t>
  </si>
  <si>
    <t>Admin 2FA TOTP Security Control Setup</t>
  </si>
  <si>
    <t>Two-Factor Authentication setup panel enabling TOTP authenticator app pairing, QR secret scanning, and mandatory 2FA enforcement.</t>
  </si>
  <si>
    <t>2FA Backup Code Regeneration &amp; Device Pairing</t>
  </si>
  <si>
    <t>Emergency security management allowing administrators to generate emergency backup recovery codes and manage secondary authorized devices.</t>
  </si>
  <si>
    <t>Platform Security Audit Log &amp; Action Tracking</t>
  </si>
  <si>
    <t>Platform Admin</t>
  </si>
  <si>
    <t>Platform-wide security audit logger recording administrative configuration changes, tenant status mutations, and security events.</t>
  </si>
  <si>
    <t>Tenant Application Review &amp; Approval Management</t>
  </si>
  <si>
    <t>Super admin portal for evaluating tenant restaurant onboarding requests, inspecting business documentation, and approving schema provisioning.</t>
  </si>
  <si>
    <t>Revenue &amp; Sales Analytics Dashboard</t>
  </si>
  <si>
    <t>Analytics</t>
  </si>
  <si>
    <t>Executive reporting dashboard visualizing revenue metrics across daily, weekly, and monthly intervals with interactive Recharts graphics.</t>
  </si>
  <si>
    <t>Top Selling Dishes &amp; Order Metrics Chart</t>
  </si>
  <si>
    <t>Analytical chart widgets displaying top performing menu items, peak ordering hours, average order values, and table occupancy rates.</t>
  </si>
  <si>
    <t>Community Social Feed &amp; Restaurant Reviews</t>
  </si>
  <si>
    <t>Social Community</t>
  </si>
  <si>
    <t>Customer, Guest, Owner</t>
  </si>
  <si>
    <t>Social community page allowing diners to post restaurant reviews, share dining photos, rate culinary experiences, and interact with feedback.</t>
  </si>
  <si>
    <t>Social Comment Threads, Reactions &amp; Hashtag System</t>
  </si>
  <si>
    <t>Enhanced social engagement features including multi-level comment threads, post reactions, hashtag indexing, saved posts, and post sharing.</t>
  </si>
  <si>
    <t>Internationalization (i18n vi/en) Switching</t>
  </si>
  <si>
    <t>User Experience</t>
  </si>
  <si>
    <t>Global localization framework providing seamless real-time language switching between English and Vietnamese across UI components.</t>
  </si>
  <si>
    <t>Global Dark / Light Theme Mode System</t>
  </si>
  <si>
    <t>Theme management engine delivering smooth Dark and Light mode visual transitions using CSS variables and Ant Design tokens.</t>
  </si>
  <si>
    <t>Production WebSocket Fixes &amp; TypeScript Polish</t>
  </si>
  <si>
    <t>DevOps &amp; Maintenance</t>
  </si>
  <si>
    <t>System-wide code quality assurance resolving TypeScript compilation errors, production WebSocket routing, and deployment scripts.</t>
  </si>
  <si>
    <t>Iteration Tracking - Iteration 1</t>
  </si>
  <si>
    <t>Information in columns A-F must be provided as the planned scope for the iteration.</t>
  </si>
  <si>
    <t>Columns B-D are copied from the sheet Product tracking list.</t>
  </si>
  <si>
    <t>Columns E-I are updated/filled by the end of the iteration.</t>
  </si>
  <si>
    <t>Screen / Function</t>
  </si>
  <si>
    <t>SRS</t>
  </si>
  <si>
    <t>SDS</t>
  </si>
  <si>
    <t>Notes</t>
  </si>
  <si>
    <t>SRS-1.1</t>
  </si>
  <si>
    <t>SDS-3.1</t>
  </si>
  <si>
    <t>Commit: feat(auth): Google OAuth 2.0 implementation</t>
  </si>
  <si>
    <t>SRS-1.2</t>
  </si>
  <si>
    <t>SDS-3.2</t>
  </si>
  <si>
    <t>Commit: feat(auth): JWT authentication &amp; Redis token rotation</t>
  </si>
  <si>
    <t>SRS-5.1</t>
  </si>
  <si>
    <t>SDS-3.14</t>
  </si>
  <si>
    <t>Commit: feat(core): configure dynamic base domain for multi-tenant</t>
  </si>
  <si>
    <t>SRS-1.5</t>
  </si>
  <si>
    <t>SDS-3.5</t>
  </si>
  <si>
    <t>Commit: feat(email): password reset email template &amp; dynamic URL</t>
  </si>
  <si>
    <t>SRS-1.4</t>
  </si>
  <si>
    <t>SDS-3.7</t>
  </si>
  <si>
    <t>Commit: feat(change-password): dynamic password setting without current password</t>
  </si>
  <si>
    <t>SDS-3.11</t>
  </si>
  <si>
    <t>Commit: feat(tenant): restaurant application submission form</t>
  </si>
  <si>
    <t>SRS-2.9</t>
  </si>
  <si>
    <t>SDS-3.59</t>
  </si>
  <si>
    <t>Commit: feat(fe): complete category management UI</t>
  </si>
  <si>
    <t>SDS-3.60</t>
  </si>
  <si>
    <t>Commit: feat(categories): order sorting &amp; status toggle</t>
  </si>
  <si>
    <t>SRS-2.3</t>
  </si>
  <si>
    <t>SDS-3.62</t>
  </si>
  <si>
    <t>Commit: feat(fe): complete dish management UI &amp; variants</t>
  </si>
  <si>
    <t>SDS-3.63</t>
  </si>
  <si>
    <t>Commit: feat(storage): image upload service</t>
  </si>
  <si>
    <t>SRS-5.3</t>
  </si>
  <si>
    <t>SDS-3.12</t>
  </si>
  <si>
    <t>Commit: feat(ui): display registered restaurant logo and images</t>
  </si>
  <si>
    <t>SRS-5.2</t>
  </si>
  <si>
    <t>SDS-3.17</t>
  </si>
  <si>
    <t>Commit: feat(landing): multi-tenant landing page</t>
  </si>
  <si>
    <t>Commit: feat(db): prisma schema setup &amp; multi-tenant models</t>
  </si>
  <si>
    <t>SRS-7.2</t>
  </si>
  <si>
    <t>SDS-3.10</t>
  </si>
  <si>
    <t>Commit: feat(security): Cloudflare Turnstile integration</t>
  </si>
  <si>
    <t>Iteration Tracking - Iteration 2</t>
  </si>
  <si>
    <t>SRS-6.3</t>
  </si>
  <si>
    <t>SDS-3.31</t>
  </si>
  <si>
    <t>Commit: feat(menu): QR code digital menu interface</t>
  </si>
  <si>
    <t>SDS-3.18</t>
  </si>
  <si>
    <t>Commit: feat(menu): flavor tag filter &amp; dietary preferences</t>
  </si>
  <si>
    <t>Commit: feat(cart): real-time cart sync</t>
  </si>
  <si>
    <t>SRS-3.3</t>
  </si>
  <si>
    <t>SDS-3.32</t>
  </si>
  <si>
    <t>Commit: fix(socket): fix CALL_STAFF not working on production</t>
  </si>
  <si>
    <t>SRS-3.2</t>
  </si>
  <si>
    <t>SDS-3.45</t>
  </si>
  <si>
    <t>Commit: feat(kds): live kitchen display board</t>
  </si>
  <si>
    <t>SRS-2.13</t>
  </si>
  <si>
    <t>SDS-3.47</t>
  </si>
  <si>
    <t>Commit: feat(kds): order item status update &amp; push notification</t>
  </si>
  <si>
    <t>SRS-2.5</t>
  </si>
  <si>
    <t>SDS-3.68</t>
  </si>
  <si>
    <t>Commit: feat(table): 2D floor plan layout builder</t>
  </si>
  <si>
    <t>SDS-3.69</t>
  </si>
  <si>
    <t>Commit: feat(map): interactive 3D table floor layout</t>
  </si>
  <si>
    <t>SRS-6.2</t>
  </si>
  <si>
    <t>SDS-3.25</t>
  </si>
  <si>
    <t>Commit: feat(reservation): online table booking system</t>
  </si>
  <si>
    <t>SRS-2.6</t>
  </si>
  <si>
    <t>SDS-3.28</t>
  </si>
  <si>
    <t>Commit: feat(reservation): capacity check auto-assignment</t>
  </si>
  <si>
    <t>SDS-3.26</t>
  </si>
  <si>
    <t>Commit: feat(email): automated reservation confirmation email</t>
  </si>
  <si>
    <t>SRS-6.1</t>
  </si>
  <si>
    <t>SDS-3.30</t>
  </si>
  <si>
    <t>Commit: feat(reservation): configurable table deposit rules</t>
  </si>
  <si>
    <t>SDS-3.40</t>
  </si>
  <si>
    <t>Commit: feat(orders): table order history tracking</t>
  </si>
  <si>
    <t>SRS-2.7</t>
  </si>
  <si>
    <t>SDS-3.70</t>
  </si>
  <si>
    <t>Commit: feat(inventory): raw ingredient stock &amp; supply management</t>
  </si>
  <si>
    <t>SDS-3.72</t>
  </si>
  <si>
    <t>Commit: feat(inventory): ingredient category &amp; low stock threshold alerts</t>
  </si>
  <si>
    <t>Iteration Tracking - Iteration 3</t>
  </si>
  <si>
    <t>SRS-3.4</t>
  </si>
  <si>
    <t>SDS-3.34</t>
  </si>
  <si>
    <t>Commit: feat(payment): SePay webhook payment gateway integration</t>
  </si>
  <si>
    <t>Commit: feat(payment): SePay dynamic VietQR payment generation</t>
  </si>
  <si>
    <t>SDS-3.54</t>
  </si>
  <si>
    <t>Commit: feat(payos): automated reservation deposit refund payout gateway</t>
  </si>
  <si>
    <t>Commit: feat(wallet): direct PayOS payout testing &amp; retry queue worker</t>
  </si>
  <si>
    <t>SDS-3.52</t>
  </si>
  <si>
    <t>Commit: fix(live-orders): Add pre-flight auth check for cash payment</t>
  </si>
  <si>
    <t>Commit: docs(payments): Verify cash payment socket emission working</t>
  </si>
  <si>
    <t>SDS-3.53</t>
  </si>
  <si>
    <t>Commit: feat(invoice): MISA e-Invoice VAT invoice integration</t>
  </si>
  <si>
    <t>Commit: feat(wallet): tenant digital wallet balance &amp; transactions</t>
  </si>
  <si>
    <t>SRS-2.12</t>
  </si>
  <si>
    <t>SDS-3.73</t>
  </si>
  <si>
    <t>Commit: feat(fe-voucher): complete voucher management UI &amp; logic</t>
  </si>
  <si>
    <t>SDS-3.35</t>
  </si>
  <si>
    <t>Commit: feat(be-voucher): voucher redemption &amp; application bridge</t>
  </si>
  <si>
    <t>SDS-3.76</t>
  </si>
  <si>
    <t>Commit: feat(be-voucher): loyalty points calculation</t>
  </si>
  <si>
    <t>SRS-2.2</t>
  </si>
  <si>
    <t>SDS-3.55</t>
  </si>
  <si>
    <t>Commit: feat(employee): staff management &amp; role assignment</t>
  </si>
  <si>
    <t>SDS-3.58</t>
  </si>
  <si>
    <t>Commit: fix(employee): resolve status filter query logic</t>
  </si>
  <si>
    <t>SRS-2.4</t>
  </si>
  <si>
    <t>SDS-3.80</t>
  </si>
  <si>
    <t>Commit: feat(restaurant): customer management directory</t>
  </si>
  <si>
    <t>Commit: feat(restaurant): customer list excel export generator</t>
  </si>
  <si>
    <t>SRS-1.6</t>
  </si>
  <si>
    <t>SDS-3.9</t>
  </si>
  <si>
    <t>Commit: feat(profile): user profile page with avatar upload</t>
  </si>
  <si>
    <t>Commit: security(auth): block disabled users in Google and Phone login</t>
  </si>
  <si>
    <t>SRS-2.1</t>
  </si>
  <si>
    <t>SDS-3.44</t>
  </si>
  <si>
    <t>Commit: feat(announcements): system broadcast announcement manager</t>
  </si>
  <si>
    <t>Iteration Tracking - Iteration 4</t>
  </si>
  <si>
    <t>SRS-4.2</t>
  </si>
  <si>
    <t>SDS-3.78</t>
  </si>
  <si>
    <t>Commit: feat(ai): RAG knowledge base batch uploading &amp; indexing</t>
  </si>
  <si>
    <t>Commit: fix: POST /api/ai/kb/upload 400 Bad Request admin fallback</t>
  </si>
  <si>
    <t>SRS-4.3</t>
  </si>
  <si>
    <t>SDS-3.33</t>
  </si>
  <si>
    <t>Commit: feat(recommendation): enhance AI prompt for flavor matchmaking</t>
  </si>
  <si>
    <t>SRS-4.1</t>
  </si>
  <si>
    <t>Commit: feat(ai): AI Menu Recommendations (frequently-bought + cart)</t>
  </si>
  <si>
    <t>Commit: feat: implement enhanced admin 2FA security controls</t>
  </si>
  <si>
    <t>Commit: feat: backup codes regeneration and secondary device setup</t>
  </si>
  <si>
    <t>SDS-3.79</t>
  </si>
  <si>
    <t>Commit: feat(audit): system audit logging &amp; security tracking</t>
  </si>
  <si>
    <t>SDS-3.13</t>
  </si>
  <si>
    <t>Commit: feat(admin): tenant application review &amp; approval workflow</t>
  </si>
  <si>
    <t>Commit: feat(dashboard): revenue analytics &amp; sales charts</t>
  </si>
  <si>
    <t>Commit: feat(dashboard): top dishes &amp; order volume metrics</t>
  </si>
  <si>
    <t>SDS-3.36</t>
  </si>
  <si>
    <t>Commit: feat(social): add community feed page and API integration</t>
  </si>
  <si>
    <t>Commit: feat(social): comment threads, reactions &amp; hashtag search</t>
  </si>
  <si>
    <t>SRS-7.1</t>
  </si>
  <si>
    <t>Commit: feat(i18n): multi-language support (vi/en)</t>
  </si>
  <si>
    <t>Commit: feat(ui): dark &amp; light theme mode system</t>
  </si>
  <si>
    <t>Commit: fix(ts): resolve TypeScript compilation &amp; production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</si>
</sst>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4"/>
      <color rgb="FF000000"/>
      <name val="Arial"/>
      <family val="2"/>
    </font>
    <font>
      <i/>
      <sz val="10"/>
      <color rgb="FFC0000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2" fillId="0" borderId="0" xfId="1" applyAlignment="1">
      <alignment horizontal="center" vertical="top"/>
    </xf>
    <xf numFmtId="0" fontId="2" fillId="0" borderId="0" xfId="1" applyAlignment="1">
      <alignment vertical="top"/>
    </xf>
    <xf numFmtId="0" fontId="4" fillId="2" borderId="1" xfId="1" applyFont="1" applyFill="1" applyBorder="1" applyAlignment="1">
      <alignment vertical="top"/>
    </xf>
    <xf numFmtId="0" fontId="3" fillId="2" borderId="1" xfId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0" borderId="2" xfId="1" applyFont="1" applyBorder="1" applyAlignment="1">
      <alignment horizontal="center" vertical="top" wrapText="1"/>
    </xf>
    <xf numFmtId="0" fontId="8" fillId="0" borderId="2" xfId="1" applyFont="1" applyBorder="1" applyAlignment="1">
      <alignment horizontal="left" vertical="top" wrapText="1"/>
    </xf>
    <xf numFmtId="0" fontId="8" fillId="0" borderId="2" xfId="2" applyFont="1" applyBorder="1" applyAlignment="1">
      <alignment horizontal="left" vertical="top" wrapText="1"/>
    </xf>
    <xf numFmtId="0" fontId="8" fillId="0" borderId="2" xfId="1" quotePrefix="1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5"/>
  <sheetViews>
    <sheetView zoomScale="110" zoomScaleNormal="110" workbookViewId="0">
      <pane ySplit="3" topLeftCell="A4" activePane="bottomLeft" state="frozen"/>
      <selection pane="bottomLeft"/>
    </sheetView>
  </sheetViews>
  <sheetFormatPr defaultColWidth="10.85546875" defaultRowHeight="12.75" x14ac:dyDescent="0.2"/>
  <cols>
    <col min="1" max="1" width="4" style="1" customWidth="1"/>
    <col min="2" max="2" width="20.42578125" style="2" bestFit="1" customWidth="1"/>
    <col min="3" max="3" width="13.7109375" style="2" customWidth="1"/>
    <col min="4" max="4" width="14" style="2" customWidth="1"/>
    <col min="5" max="5" width="50.7109375" style="2" bestFit="1" customWidth="1"/>
    <col min="6" max="6" width="9" style="2" bestFit="1" customWidth="1"/>
    <col min="7" max="7" width="7.85546875" style="2" bestFit="1" customWidth="1"/>
    <col min="8" max="9" width="8" style="2" customWidth="1"/>
    <col min="10" max="10" width="45.42578125" style="2" customWidth="1"/>
    <col min="11" max="11" width="10.85546875" style="2" customWidth="1"/>
    <col min="12" max="16384" width="10.85546875" style="2"/>
  </cols>
  <sheetData>
    <row r="1" spans="1:10" ht="18" customHeight="1" x14ac:dyDescent="0.2">
      <c r="A1" s="6" t="s">
        <v>0</v>
      </c>
    </row>
    <row r="2" spans="1:10" x14ac:dyDescent="0.2">
      <c r="A2" s="7" t="s">
        <v>1</v>
      </c>
    </row>
    <row r="3" spans="1:10" x14ac:dyDescent="0.2">
      <c r="A3" s="4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ht="14.1" customHeight="1" x14ac:dyDescent="0.2">
      <c r="A4" s="9">
        <f t="shared" ref="A4:A35" si="0">ROW()-3</f>
        <v>1</v>
      </c>
      <c r="B4" s="10" t="s">
        <v>12</v>
      </c>
      <c r="C4" s="10" t="s">
        <v>13</v>
      </c>
      <c r="D4" s="10" t="s">
        <v>14</v>
      </c>
      <c r="E4" s="10" t="s">
        <v>15</v>
      </c>
      <c r="F4" s="11" t="s">
        <v>16</v>
      </c>
      <c r="G4" s="9" t="s">
        <v>17</v>
      </c>
      <c r="H4" s="9" t="s">
        <v>18</v>
      </c>
      <c r="I4" s="9" t="s">
        <v>19</v>
      </c>
      <c r="J4" s="10" t="s">
        <v>20</v>
      </c>
    </row>
    <row r="5" spans="1:10" ht="14.1" customHeight="1" x14ac:dyDescent="0.2">
      <c r="A5" s="9">
        <f t="shared" si="0"/>
        <v>2</v>
      </c>
      <c r="B5" s="10" t="s">
        <v>21</v>
      </c>
      <c r="C5" s="10" t="s">
        <v>13</v>
      </c>
      <c r="D5" s="10" t="s">
        <v>14</v>
      </c>
      <c r="E5" s="10" t="s">
        <v>22</v>
      </c>
      <c r="F5" s="11" t="s">
        <v>16</v>
      </c>
      <c r="G5" s="9" t="s">
        <v>17</v>
      </c>
      <c r="H5" s="9" t="s">
        <v>18</v>
      </c>
      <c r="I5" s="9" t="s">
        <v>23</v>
      </c>
      <c r="J5" s="10"/>
    </row>
    <row r="6" spans="1:10" ht="14.1" customHeight="1" x14ac:dyDescent="0.2">
      <c r="A6" s="9">
        <f t="shared" si="0"/>
        <v>3</v>
      </c>
      <c r="B6" s="10" t="s">
        <v>24</v>
      </c>
      <c r="C6" s="10" t="s">
        <v>25</v>
      </c>
      <c r="D6" s="10" t="s">
        <v>26</v>
      </c>
      <c r="E6" s="10" t="s">
        <v>27</v>
      </c>
      <c r="F6" s="11" t="s">
        <v>28</v>
      </c>
      <c r="G6" s="9" t="s">
        <v>17</v>
      </c>
      <c r="H6" s="9" t="s">
        <v>18</v>
      </c>
      <c r="I6" s="9" t="s">
        <v>19</v>
      </c>
      <c r="J6" s="10" t="s">
        <v>29</v>
      </c>
    </row>
    <row r="7" spans="1:10" ht="56.1" customHeight="1" x14ac:dyDescent="0.2">
      <c r="A7" s="9">
        <f t="shared" si="0"/>
        <v>4</v>
      </c>
      <c r="B7" s="10" t="s">
        <v>30</v>
      </c>
      <c r="C7" s="10" t="s">
        <v>13</v>
      </c>
      <c r="D7" s="10" t="s">
        <v>31</v>
      </c>
      <c r="E7" s="12" t="s">
        <v>32</v>
      </c>
      <c r="F7" s="11" t="s">
        <v>33</v>
      </c>
      <c r="G7" s="9" t="s">
        <v>17</v>
      </c>
      <c r="H7" s="9" t="s">
        <v>18</v>
      </c>
      <c r="I7" s="9" t="s">
        <v>34</v>
      </c>
      <c r="J7" s="10" t="s">
        <v>35</v>
      </c>
    </row>
    <row r="8" spans="1:10" ht="38.25" x14ac:dyDescent="0.2">
      <c r="A8" s="13">
        <f t="shared" si="0"/>
        <v>5</v>
      </c>
      <c r="B8" s="14" t="s">
        <v>36</v>
      </c>
      <c r="C8" s="14" t="s">
        <v>13</v>
      </c>
      <c r="D8" s="14" t="s">
        <v>31</v>
      </c>
      <c r="E8" s="14" t="s">
        <v>37</v>
      </c>
      <c r="F8" s="14" t="s">
        <v>33</v>
      </c>
      <c r="G8" s="13" t="s">
        <v>17</v>
      </c>
      <c r="H8" s="13" t="s">
        <v>18</v>
      </c>
      <c r="I8" s="13" t="s">
        <v>23</v>
      </c>
      <c r="J8" s="14"/>
    </row>
    <row r="9" spans="1:10" ht="38.25" x14ac:dyDescent="0.2">
      <c r="A9" s="13">
        <f t="shared" si="0"/>
        <v>6</v>
      </c>
      <c r="B9" s="14" t="s">
        <v>38</v>
      </c>
      <c r="C9" s="14" t="s">
        <v>39</v>
      </c>
      <c r="D9" s="14" t="s">
        <v>40</v>
      </c>
      <c r="E9" s="14" t="s">
        <v>41</v>
      </c>
      <c r="F9" s="14" t="s">
        <v>16</v>
      </c>
      <c r="G9" s="13" t="s">
        <v>17</v>
      </c>
      <c r="H9" s="13" t="s">
        <v>18</v>
      </c>
      <c r="I9" s="13" t="s">
        <v>23</v>
      </c>
      <c r="J9" s="14"/>
    </row>
    <row r="10" spans="1:10" ht="38.25" x14ac:dyDescent="0.2">
      <c r="A10" s="13">
        <f t="shared" si="0"/>
        <v>7</v>
      </c>
      <c r="B10" s="14" t="s">
        <v>42</v>
      </c>
      <c r="C10" s="14" t="s">
        <v>43</v>
      </c>
      <c r="D10" s="14" t="s">
        <v>44</v>
      </c>
      <c r="E10" s="14" t="s">
        <v>45</v>
      </c>
      <c r="F10" s="14" t="s">
        <v>33</v>
      </c>
      <c r="G10" s="13" t="s">
        <v>17</v>
      </c>
      <c r="H10" s="13" t="s">
        <v>18</v>
      </c>
      <c r="I10" s="13" t="s">
        <v>23</v>
      </c>
      <c r="J10" s="14"/>
    </row>
    <row r="11" spans="1:10" ht="38.25" x14ac:dyDescent="0.2">
      <c r="A11" s="13">
        <f t="shared" si="0"/>
        <v>8</v>
      </c>
      <c r="B11" s="14" t="s">
        <v>46</v>
      </c>
      <c r="C11" s="14" t="s">
        <v>43</v>
      </c>
      <c r="D11" s="14" t="s">
        <v>44</v>
      </c>
      <c r="E11" s="14" t="s">
        <v>47</v>
      </c>
      <c r="F11" s="14" t="s">
        <v>33</v>
      </c>
      <c r="G11" s="13" t="s">
        <v>17</v>
      </c>
      <c r="H11" s="13" t="s">
        <v>18</v>
      </c>
      <c r="I11" s="13" t="s">
        <v>23</v>
      </c>
      <c r="J11" s="14"/>
    </row>
    <row r="12" spans="1:10" ht="38.25" x14ac:dyDescent="0.2">
      <c r="A12" s="13">
        <f t="shared" si="0"/>
        <v>9</v>
      </c>
      <c r="B12" s="14" t="s">
        <v>48</v>
      </c>
      <c r="C12" s="14" t="s">
        <v>43</v>
      </c>
      <c r="D12" s="14" t="s">
        <v>44</v>
      </c>
      <c r="E12" s="14" t="s">
        <v>49</v>
      </c>
      <c r="F12" s="14" t="s">
        <v>33</v>
      </c>
      <c r="G12" s="13" t="s">
        <v>17</v>
      </c>
      <c r="H12" s="13" t="s">
        <v>18</v>
      </c>
      <c r="I12" s="13" t="s">
        <v>50</v>
      </c>
      <c r="J12" s="14" t="s">
        <v>51</v>
      </c>
    </row>
    <row r="13" spans="1:10" ht="38.25" x14ac:dyDescent="0.2">
      <c r="A13" s="13">
        <f t="shared" si="0"/>
        <v>10</v>
      </c>
      <c r="B13" s="14" t="s">
        <v>52</v>
      </c>
      <c r="C13" s="14" t="s">
        <v>53</v>
      </c>
      <c r="D13" s="14" t="s">
        <v>44</v>
      </c>
      <c r="E13" s="14" t="s">
        <v>54</v>
      </c>
      <c r="F13" s="14" t="s">
        <v>55</v>
      </c>
      <c r="G13" s="13" t="s">
        <v>17</v>
      </c>
      <c r="H13" s="13" t="s">
        <v>18</v>
      </c>
      <c r="I13" s="13" t="s">
        <v>23</v>
      </c>
      <c r="J13" s="14"/>
    </row>
    <row r="14" spans="1:10" ht="38.25" x14ac:dyDescent="0.2">
      <c r="A14" s="13">
        <f t="shared" si="0"/>
        <v>11</v>
      </c>
      <c r="B14" s="14" t="s">
        <v>56</v>
      </c>
      <c r="C14" s="14" t="s">
        <v>57</v>
      </c>
      <c r="D14" s="14" t="s">
        <v>44</v>
      </c>
      <c r="E14" s="14" t="s">
        <v>58</v>
      </c>
      <c r="F14" s="14" t="s">
        <v>16</v>
      </c>
      <c r="G14" s="13" t="s">
        <v>17</v>
      </c>
      <c r="H14" s="13" t="s">
        <v>18</v>
      </c>
      <c r="I14" s="13" t="s">
        <v>19</v>
      </c>
      <c r="J14" s="14" t="s">
        <v>59</v>
      </c>
    </row>
    <row r="15" spans="1:10" ht="38.25" x14ac:dyDescent="0.2">
      <c r="A15" s="13">
        <f t="shared" si="0"/>
        <v>12</v>
      </c>
      <c r="B15" s="14" t="s">
        <v>60</v>
      </c>
      <c r="C15" s="14" t="s">
        <v>61</v>
      </c>
      <c r="D15" s="14" t="s">
        <v>62</v>
      </c>
      <c r="E15" s="14" t="s">
        <v>63</v>
      </c>
      <c r="F15" s="14" t="s">
        <v>16</v>
      </c>
      <c r="G15" s="13" t="s">
        <v>17</v>
      </c>
      <c r="H15" s="13" t="s">
        <v>18</v>
      </c>
      <c r="I15" s="13" t="s">
        <v>23</v>
      </c>
      <c r="J15" s="14"/>
    </row>
    <row r="16" spans="1:10" ht="51" x14ac:dyDescent="0.2">
      <c r="A16" s="13">
        <f t="shared" si="0"/>
        <v>13</v>
      </c>
      <c r="B16" s="14" t="s">
        <v>64</v>
      </c>
      <c r="C16" s="14" t="s">
        <v>25</v>
      </c>
      <c r="D16" s="14" t="s">
        <v>65</v>
      </c>
      <c r="E16" s="14" t="s">
        <v>66</v>
      </c>
      <c r="F16" s="14" t="s">
        <v>16</v>
      </c>
      <c r="G16" s="13" t="s">
        <v>17</v>
      </c>
      <c r="H16" s="13" t="s">
        <v>18</v>
      </c>
      <c r="I16" s="13" t="s">
        <v>23</v>
      </c>
      <c r="J16" s="14"/>
    </row>
    <row r="17" spans="1:10" ht="38.25" x14ac:dyDescent="0.2">
      <c r="A17" s="13">
        <f t="shared" si="0"/>
        <v>14</v>
      </c>
      <c r="B17" s="14" t="s">
        <v>67</v>
      </c>
      <c r="C17" s="14" t="s">
        <v>68</v>
      </c>
      <c r="D17" s="14" t="s">
        <v>69</v>
      </c>
      <c r="E17" s="14" t="s">
        <v>70</v>
      </c>
      <c r="F17" s="14" t="s">
        <v>28</v>
      </c>
      <c r="G17" s="13" t="s">
        <v>17</v>
      </c>
      <c r="H17" s="13" t="s">
        <v>18</v>
      </c>
      <c r="I17" s="13" t="s">
        <v>23</v>
      </c>
      <c r="J17" s="14"/>
    </row>
    <row r="18" spans="1:10" ht="38.25" x14ac:dyDescent="0.2">
      <c r="A18" s="13">
        <f t="shared" si="0"/>
        <v>15</v>
      </c>
      <c r="B18" s="14" t="s">
        <v>71</v>
      </c>
      <c r="C18" s="14" t="s">
        <v>72</v>
      </c>
      <c r="D18" s="14" t="s">
        <v>73</v>
      </c>
      <c r="E18" s="14" t="s">
        <v>74</v>
      </c>
      <c r="F18" s="14" t="s">
        <v>33</v>
      </c>
      <c r="G18" s="13" t="s">
        <v>17</v>
      </c>
      <c r="H18" s="13" t="s">
        <v>50</v>
      </c>
      <c r="I18" s="13" t="s">
        <v>23</v>
      </c>
      <c r="J18" s="14"/>
    </row>
    <row r="19" spans="1:10" ht="38.25" x14ac:dyDescent="0.2">
      <c r="A19" s="13">
        <f t="shared" si="0"/>
        <v>16</v>
      </c>
      <c r="B19" s="14" t="s">
        <v>75</v>
      </c>
      <c r="C19" s="14" t="s">
        <v>72</v>
      </c>
      <c r="D19" s="14" t="s">
        <v>73</v>
      </c>
      <c r="E19" s="14" t="s">
        <v>76</v>
      </c>
      <c r="F19" s="14" t="s">
        <v>33</v>
      </c>
      <c r="G19" s="13" t="s">
        <v>17</v>
      </c>
      <c r="H19" s="13" t="s">
        <v>50</v>
      </c>
      <c r="I19" s="13" t="s">
        <v>23</v>
      </c>
      <c r="J19" s="14"/>
    </row>
    <row r="20" spans="1:10" ht="38.25" x14ac:dyDescent="0.2">
      <c r="A20" s="13">
        <f t="shared" si="0"/>
        <v>17</v>
      </c>
      <c r="B20" s="14" t="s">
        <v>77</v>
      </c>
      <c r="C20" s="14" t="s">
        <v>72</v>
      </c>
      <c r="D20" s="14" t="s">
        <v>73</v>
      </c>
      <c r="E20" s="14" t="s">
        <v>78</v>
      </c>
      <c r="F20" s="14" t="s">
        <v>28</v>
      </c>
      <c r="G20" s="13" t="s">
        <v>17</v>
      </c>
      <c r="H20" s="13" t="s">
        <v>50</v>
      </c>
      <c r="I20" s="13" t="s">
        <v>34</v>
      </c>
      <c r="J20" s="14" t="s">
        <v>79</v>
      </c>
    </row>
    <row r="21" spans="1:10" ht="38.25" x14ac:dyDescent="0.2">
      <c r="A21" s="13">
        <f t="shared" si="0"/>
        <v>18</v>
      </c>
      <c r="B21" s="14" t="s">
        <v>80</v>
      </c>
      <c r="C21" s="14" t="s">
        <v>72</v>
      </c>
      <c r="D21" s="14" t="s">
        <v>81</v>
      </c>
      <c r="E21" s="14" t="s">
        <v>82</v>
      </c>
      <c r="F21" s="14" t="s">
        <v>28</v>
      </c>
      <c r="G21" s="13" t="s">
        <v>17</v>
      </c>
      <c r="H21" s="13" t="s">
        <v>50</v>
      </c>
      <c r="I21" s="13" t="s">
        <v>19</v>
      </c>
      <c r="J21" s="14" t="s">
        <v>83</v>
      </c>
    </row>
    <row r="22" spans="1:10" ht="38.25" x14ac:dyDescent="0.2">
      <c r="A22" s="13">
        <f t="shared" si="0"/>
        <v>19</v>
      </c>
      <c r="B22" s="14" t="s">
        <v>84</v>
      </c>
      <c r="C22" s="14" t="s">
        <v>85</v>
      </c>
      <c r="D22" s="14" t="s">
        <v>86</v>
      </c>
      <c r="E22" s="14" t="s">
        <v>87</v>
      </c>
      <c r="F22" s="14" t="s">
        <v>28</v>
      </c>
      <c r="G22" s="13" t="s">
        <v>17</v>
      </c>
      <c r="H22" s="13" t="s">
        <v>50</v>
      </c>
      <c r="I22" s="13" t="s">
        <v>19</v>
      </c>
      <c r="J22" s="14" t="s">
        <v>88</v>
      </c>
    </row>
    <row r="23" spans="1:10" ht="38.25" x14ac:dyDescent="0.2">
      <c r="A23" s="13">
        <f t="shared" si="0"/>
        <v>20</v>
      </c>
      <c r="B23" s="14" t="s">
        <v>89</v>
      </c>
      <c r="C23" s="14" t="s">
        <v>85</v>
      </c>
      <c r="D23" s="14" t="s">
        <v>90</v>
      </c>
      <c r="E23" s="14" t="s">
        <v>91</v>
      </c>
      <c r="F23" s="14" t="s">
        <v>28</v>
      </c>
      <c r="G23" s="13" t="s">
        <v>17</v>
      </c>
      <c r="H23" s="13" t="s">
        <v>50</v>
      </c>
      <c r="I23" s="13" t="s">
        <v>23</v>
      </c>
      <c r="J23" s="14"/>
    </row>
    <row r="24" spans="1:10" ht="38.25" x14ac:dyDescent="0.2">
      <c r="A24" s="13">
        <f t="shared" si="0"/>
        <v>21</v>
      </c>
      <c r="B24" s="14" t="s">
        <v>92</v>
      </c>
      <c r="C24" s="14" t="s">
        <v>93</v>
      </c>
      <c r="D24" s="14" t="s">
        <v>94</v>
      </c>
      <c r="E24" s="14" t="s">
        <v>95</v>
      </c>
      <c r="F24" s="14" t="s">
        <v>16</v>
      </c>
      <c r="G24" s="13" t="s">
        <v>17</v>
      </c>
      <c r="H24" s="13" t="s">
        <v>50</v>
      </c>
      <c r="I24" s="13" t="s">
        <v>23</v>
      </c>
      <c r="J24" s="14"/>
    </row>
    <row r="25" spans="1:10" ht="38.25" x14ac:dyDescent="0.2">
      <c r="A25" s="13">
        <f t="shared" si="0"/>
        <v>22</v>
      </c>
      <c r="B25" s="14" t="s">
        <v>96</v>
      </c>
      <c r="C25" s="14" t="s">
        <v>93</v>
      </c>
      <c r="D25" s="14" t="s">
        <v>94</v>
      </c>
      <c r="E25" s="14" t="s">
        <v>97</v>
      </c>
      <c r="F25" s="14" t="s">
        <v>16</v>
      </c>
      <c r="G25" s="13" t="s">
        <v>17</v>
      </c>
      <c r="H25" s="13" t="s">
        <v>50</v>
      </c>
      <c r="I25" s="13" t="s">
        <v>23</v>
      </c>
      <c r="J25" s="14"/>
    </row>
    <row r="26" spans="1:10" ht="38.25" x14ac:dyDescent="0.2">
      <c r="A26" s="13">
        <f t="shared" si="0"/>
        <v>23</v>
      </c>
      <c r="B26" s="14" t="s">
        <v>98</v>
      </c>
      <c r="C26" s="14" t="s">
        <v>99</v>
      </c>
      <c r="D26" s="14" t="s">
        <v>100</v>
      </c>
      <c r="E26" s="14" t="s">
        <v>101</v>
      </c>
      <c r="F26" s="14" t="s">
        <v>16</v>
      </c>
      <c r="G26" s="13" t="s">
        <v>17</v>
      </c>
      <c r="H26" s="13" t="s">
        <v>50</v>
      </c>
      <c r="I26" s="13" t="s">
        <v>19</v>
      </c>
      <c r="J26" s="14" t="s">
        <v>102</v>
      </c>
    </row>
    <row r="27" spans="1:10" ht="38.25" x14ac:dyDescent="0.2">
      <c r="A27" s="13">
        <f t="shared" si="0"/>
        <v>24</v>
      </c>
      <c r="B27" s="14" t="s">
        <v>103</v>
      </c>
      <c r="C27" s="14" t="s">
        <v>99</v>
      </c>
      <c r="D27" s="14" t="s">
        <v>104</v>
      </c>
      <c r="E27" s="14" t="s">
        <v>105</v>
      </c>
      <c r="F27" s="14" t="s">
        <v>16</v>
      </c>
      <c r="G27" s="13" t="s">
        <v>17</v>
      </c>
      <c r="H27" s="13" t="s">
        <v>50</v>
      </c>
      <c r="I27" s="13" t="s">
        <v>23</v>
      </c>
      <c r="J27" s="14"/>
    </row>
    <row r="28" spans="1:10" ht="38.25" x14ac:dyDescent="0.2">
      <c r="A28" s="13">
        <f t="shared" si="0"/>
        <v>25</v>
      </c>
      <c r="B28" s="14" t="s">
        <v>106</v>
      </c>
      <c r="C28" s="14" t="s">
        <v>107</v>
      </c>
      <c r="D28" s="14" t="s">
        <v>108</v>
      </c>
      <c r="E28" s="14" t="s">
        <v>109</v>
      </c>
      <c r="F28" s="14" t="s">
        <v>33</v>
      </c>
      <c r="G28" s="13" t="s">
        <v>17</v>
      </c>
      <c r="H28" s="13" t="s">
        <v>50</v>
      </c>
      <c r="I28" s="13" t="s">
        <v>23</v>
      </c>
      <c r="J28" s="14"/>
    </row>
    <row r="29" spans="1:10" ht="38.25" x14ac:dyDescent="0.2">
      <c r="A29" s="13">
        <f t="shared" si="0"/>
        <v>26</v>
      </c>
      <c r="B29" s="14" t="s">
        <v>110</v>
      </c>
      <c r="C29" s="14" t="s">
        <v>99</v>
      </c>
      <c r="D29" s="14" t="s">
        <v>44</v>
      </c>
      <c r="E29" s="14" t="s">
        <v>111</v>
      </c>
      <c r="F29" s="14" t="s">
        <v>16</v>
      </c>
      <c r="G29" s="13" t="s">
        <v>17</v>
      </c>
      <c r="H29" s="13" t="s">
        <v>50</v>
      </c>
      <c r="I29" s="13" t="s">
        <v>23</v>
      </c>
      <c r="J29" s="14"/>
    </row>
    <row r="30" spans="1:10" ht="38.25" x14ac:dyDescent="0.2">
      <c r="A30" s="13">
        <f t="shared" si="0"/>
        <v>27</v>
      </c>
      <c r="B30" s="14" t="s">
        <v>112</v>
      </c>
      <c r="C30" s="14" t="s">
        <v>113</v>
      </c>
      <c r="D30" s="14" t="s">
        <v>104</v>
      </c>
      <c r="E30" s="14" t="s">
        <v>114</v>
      </c>
      <c r="F30" s="14" t="s">
        <v>28</v>
      </c>
      <c r="G30" s="13" t="s">
        <v>17</v>
      </c>
      <c r="H30" s="13" t="s">
        <v>50</v>
      </c>
      <c r="I30" s="13" t="s">
        <v>23</v>
      </c>
      <c r="J30" s="14"/>
    </row>
    <row r="31" spans="1:10" ht="38.25" x14ac:dyDescent="0.2">
      <c r="A31" s="13">
        <f t="shared" si="0"/>
        <v>28</v>
      </c>
      <c r="B31" s="14" t="s">
        <v>115</v>
      </c>
      <c r="C31" s="14" t="s">
        <v>116</v>
      </c>
      <c r="D31" s="14" t="s">
        <v>117</v>
      </c>
      <c r="E31" s="14" t="s">
        <v>118</v>
      </c>
      <c r="F31" s="14" t="s">
        <v>33</v>
      </c>
      <c r="G31" s="13" t="s">
        <v>17</v>
      </c>
      <c r="H31" s="13" t="s">
        <v>50</v>
      </c>
      <c r="I31" s="13" t="s">
        <v>23</v>
      </c>
      <c r="J31" s="14"/>
    </row>
    <row r="32" spans="1:10" ht="38.25" x14ac:dyDescent="0.2">
      <c r="A32" s="13">
        <f t="shared" si="0"/>
        <v>29</v>
      </c>
      <c r="B32" s="14" t="s">
        <v>119</v>
      </c>
      <c r="C32" s="14" t="s">
        <v>116</v>
      </c>
      <c r="D32" s="14" t="s">
        <v>117</v>
      </c>
      <c r="E32" s="14" t="s">
        <v>120</v>
      </c>
      <c r="F32" s="14" t="s">
        <v>33</v>
      </c>
      <c r="G32" s="13" t="s">
        <v>17</v>
      </c>
      <c r="H32" s="13" t="s">
        <v>50</v>
      </c>
      <c r="I32" s="13" t="s">
        <v>23</v>
      </c>
      <c r="J32" s="14"/>
    </row>
    <row r="33" spans="1:10" ht="38.25" x14ac:dyDescent="0.2">
      <c r="A33" s="13">
        <f t="shared" si="0"/>
        <v>30</v>
      </c>
      <c r="B33" s="14" t="s">
        <v>121</v>
      </c>
      <c r="C33" s="14" t="s">
        <v>122</v>
      </c>
      <c r="D33" s="14" t="s">
        <v>81</v>
      </c>
      <c r="E33" s="14" t="s">
        <v>123</v>
      </c>
      <c r="F33" s="14" t="s">
        <v>16</v>
      </c>
      <c r="G33" s="13" t="s">
        <v>17</v>
      </c>
      <c r="H33" s="13" t="s">
        <v>34</v>
      </c>
      <c r="I33" s="13" t="s">
        <v>23</v>
      </c>
      <c r="J33" s="14"/>
    </row>
    <row r="34" spans="1:10" ht="38.25" x14ac:dyDescent="0.2">
      <c r="A34" s="13">
        <f t="shared" si="0"/>
        <v>31</v>
      </c>
      <c r="B34" s="14" t="s">
        <v>124</v>
      </c>
      <c r="C34" s="14" t="s">
        <v>122</v>
      </c>
      <c r="D34" s="14" t="s">
        <v>81</v>
      </c>
      <c r="E34" s="14" t="s">
        <v>125</v>
      </c>
      <c r="F34" s="14" t="s">
        <v>16</v>
      </c>
      <c r="G34" s="13" t="s">
        <v>17</v>
      </c>
      <c r="H34" s="13" t="s">
        <v>34</v>
      </c>
      <c r="I34" s="13" t="s">
        <v>23</v>
      </c>
      <c r="J34" s="14"/>
    </row>
    <row r="35" spans="1:10" ht="63.75" x14ac:dyDescent="0.2">
      <c r="A35" s="13">
        <f t="shared" si="0"/>
        <v>32</v>
      </c>
      <c r="B35" s="14" t="s">
        <v>126</v>
      </c>
      <c r="C35" s="14" t="s">
        <v>127</v>
      </c>
      <c r="D35" s="14" t="s">
        <v>100</v>
      </c>
      <c r="E35" s="14" t="s">
        <v>128</v>
      </c>
      <c r="F35" s="14" t="s">
        <v>16</v>
      </c>
      <c r="G35" s="13" t="s">
        <v>17</v>
      </c>
      <c r="H35" s="13" t="s">
        <v>34</v>
      </c>
      <c r="I35" s="13" t="s">
        <v>19</v>
      </c>
      <c r="J35" s="14" t="s">
        <v>129</v>
      </c>
    </row>
    <row r="36" spans="1:10" ht="38.25" x14ac:dyDescent="0.2">
      <c r="A36" s="13">
        <f t="shared" ref="A36:A65" si="1">ROW()-3</f>
        <v>33</v>
      </c>
      <c r="B36" s="14" t="s">
        <v>130</v>
      </c>
      <c r="C36" s="14" t="s">
        <v>127</v>
      </c>
      <c r="D36" s="14" t="s">
        <v>131</v>
      </c>
      <c r="E36" s="14" t="s">
        <v>132</v>
      </c>
      <c r="F36" s="14" t="s">
        <v>16</v>
      </c>
      <c r="G36" s="13" t="s">
        <v>17</v>
      </c>
      <c r="H36" s="13" t="s">
        <v>34</v>
      </c>
      <c r="I36" s="13" t="s">
        <v>23</v>
      </c>
      <c r="J36" s="14"/>
    </row>
    <row r="37" spans="1:10" ht="38.25" x14ac:dyDescent="0.2">
      <c r="A37" s="13">
        <f t="shared" si="1"/>
        <v>34</v>
      </c>
      <c r="B37" s="14" t="s">
        <v>133</v>
      </c>
      <c r="C37" s="14" t="s">
        <v>122</v>
      </c>
      <c r="D37" s="14" t="s">
        <v>134</v>
      </c>
      <c r="E37" s="14" t="s">
        <v>135</v>
      </c>
      <c r="F37" s="14" t="s">
        <v>16</v>
      </c>
      <c r="G37" s="13" t="s">
        <v>17</v>
      </c>
      <c r="H37" s="13" t="s">
        <v>34</v>
      </c>
      <c r="I37" s="13" t="s">
        <v>19</v>
      </c>
      <c r="J37" s="14" t="s">
        <v>136</v>
      </c>
    </row>
    <row r="38" spans="1:10" ht="38.25" x14ac:dyDescent="0.2">
      <c r="A38" s="13">
        <f t="shared" si="1"/>
        <v>35</v>
      </c>
      <c r="B38" s="14" t="s">
        <v>137</v>
      </c>
      <c r="C38" s="14" t="s">
        <v>122</v>
      </c>
      <c r="D38" s="14" t="s">
        <v>134</v>
      </c>
      <c r="E38" s="14" t="s">
        <v>138</v>
      </c>
      <c r="F38" s="14" t="s">
        <v>16</v>
      </c>
      <c r="G38" s="13" t="s">
        <v>17</v>
      </c>
      <c r="H38" s="13" t="s">
        <v>34</v>
      </c>
      <c r="I38" s="13" t="s">
        <v>23</v>
      </c>
      <c r="J38" s="14"/>
    </row>
    <row r="39" spans="1:10" ht="38.25" x14ac:dyDescent="0.2">
      <c r="A39" s="13">
        <f t="shared" si="1"/>
        <v>36</v>
      </c>
      <c r="B39" s="14" t="s">
        <v>139</v>
      </c>
      <c r="C39" s="14" t="s">
        <v>140</v>
      </c>
      <c r="D39" s="14" t="s">
        <v>141</v>
      </c>
      <c r="E39" s="14" t="s">
        <v>142</v>
      </c>
      <c r="F39" s="14" t="s">
        <v>16</v>
      </c>
      <c r="G39" s="13" t="s">
        <v>17</v>
      </c>
      <c r="H39" s="13" t="s">
        <v>34</v>
      </c>
      <c r="I39" s="13" t="s">
        <v>23</v>
      </c>
      <c r="J39" s="14"/>
    </row>
    <row r="40" spans="1:10" ht="38.25" x14ac:dyDescent="0.2">
      <c r="A40" s="13">
        <f t="shared" si="1"/>
        <v>37</v>
      </c>
      <c r="B40" s="14" t="s">
        <v>143</v>
      </c>
      <c r="C40" s="14" t="s">
        <v>144</v>
      </c>
      <c r="D40" s="14" t="s">
        <v>44</v>
      </c>
      <c r="E40" s="14" t="s">
        <v>145</v>
      </c>
      <c r="F40" s="14" t="s">
        <v>16</v>
      </c>
      <c r="G40" s="13" t="s">
        <v>17</v>
      </c>
      <c r="H40" s="13" t="s">
        <v>34</v>
      </c>
      <c r="I40" s="13" t="s">
        <v>23</v>
      </c>
      <c r="J40" s="14"/>
    </row>
    <row r="41" spans="1:10" ht="38.25" x14ac:dyDescent="0.2">
      <c r="A41" s="13">
        <f t="shared" si="1"/>
        <v>38</v>
      </c>
      <c r="B41" s="14" t="s">
        <v>146</v>
      </c>
      <c r="C41" s="14" t="s">
        <v>147</v>
      </c>
      <c r="D41" s="14" t="s">
        <v>44</v>
      </c>
      <c r="E41" s="14" t="s">
        <v>148</v>
      </c>
      <c r="F41" s="14" t="s">
        <v>33</v>
      </c>
      <c r="G41" s="13" t="s">
        <v>17</v>
      </c>
      <c r="H41" s="13" t="s">
        <v>34</v>
      </c>
      <c r="I41" s="13" t="s">
        <v>19</v>
      </c>
      <c r="J41" s="14" t="s">
        <v>149</v>
      </c>
    </row>
    <row r="42" spans="1:10" ht="38.25" x14ac:dyDescent="0.2">
      <c r="A42" s="13">
        <f t="shared" si="1"/>
        <v>39</v>
      </c>
      <c r="B42" s="14" t="s">
        <v>150</v>
      </c>
      <c r="C42" s="14" t="s">
        <v>147</v>
      </c>
      <c r="D42" s="14" t="s">
        <v>81</v>
      </c>
      <c r="E42" s="14" t="s">
        <v>151</v>
      </c>
      <c r="F42" s="14" t="s">
        <v>33</v>
      </c>
      <c r="G42" s="13" t="s">
        <v>17</v>
      </c>
      <c r="H42" s="13" t="s">
        <v>34</v>
      </c>
      <c r="I42" s="13" t="s">
        <v>19</v>
      </c>
      <c r="J42" s="14" t="s">
        <v>152</v>
      </c>
    </row>
    <row r="43" spans="1:10" ht="38.25" x14ac:dyDescent="0.2">
      <c r="A43" s="13">
        <f t="shared" si="1"/>
        <v>40</v>
      </c>
      <c r="B43" s="14" t="s">
        <v>153</v>
      </c>
      <c r="C43" s="14" t="s">
        <v>147</v>
      </c>
      <c r="D43" s="14" t="s">
        <v>154</v>
      </c>
      <c r="E43" s="14" t="s">
        <v>155</v>
      </c>
      <c r="F43" s="14" t="s">
        <v>33</v>
      </c>
      <c r="G43" s="13" t="s">
        <v>17</v>
      </c>
      <c r="H43" s="13" t="s">
        <v>34</v>
      </c>
      <c r="I43" s="13" t="s">
        <v>19</v>
      </c>
      <c r="J43" s="14" t="s">
        <v>156</v>
      </c>
    </row>
    <row r="44" spans="1:10" ht="38.25" x14ac:dyDescent="0.2">
      <c r="A44" s="13">
        <f t="shared" si="1"/>
        <v>41</v>
      </c>
      <c r="B44" s="14" t="s">
        <v>157</v>
      </c>
      <c r="C44" s="14" t="s">
        <v>158</v>
      </c>
      <c r="D44" s="14" t="s">
        <v>117</v>
      </c>
      <c r="E44" s="14" t="s">
        <v>159</v>
      </c>
      <c r="F44" s="14" t="s">
        <v>55</v>
      </c>
      <c r="G44" s="13" t="s">
        <v>17</v>
      </c>
      <c r="H44" s="13" t="s">
        <v>34</v>
      </c>
      <c r="I44" s="13" t="s">
        <v>23</v>
      </c>
      <c r="J44" s="14"/>
    </row>
    <row r="45" spans="1:10" ht="38.25" x14ac:dyDescent="0.2">
      <c r="A45" s="13">
        <f t="shared" si="1"/>
        <v>42</v>
      </c>
      <c r="B45" s="14" t="s">
        <v>160</v>
      </c>
      <c r="C45" s="14" t="s">
        <v>158</v>
      </c>
      <c r="D45" s="14" t="s">
        <v>117</v>
      </c>
      <c r="E45" s="14" t="s">
        <v>161</v>
      </c>
      <c r="F45" s="14" t="s">
        <v>55</v>
      </c>
      <c r="G45" s="13" t="s">
        <v>17</v>
      </c>
      <c r="H45" s="13" t="s">
        <v>34</v>
      </c>
      <c r="I45" s="13" t="s">
        <v>23</v>
      </c>
      <c r="J45" s="14" t="s">
        <v>162</v>
      </c>
    </row>
    <row r="46" spans="1:10" ht="38.25" x14ac:dyDescent="0.2">
      <c r="A46" s="13">
        <f t="shared" si="1"/>
        <v>43</v>
      </c>
      <c r="B46" s="14" t="s">
        <v>163</v>
      </c>
      <c r="C46" s="14" t="s">
        <v>164</v>
      </c>
      <c r="D46" s="14" t="s">
        <v>117</v>
      </c>
      <c r="E46" s="14" t="s">
        <v>165</v>
      </c>
      <c r="F46" s="14" t="s">
        <v>33</v>
      </c>
      <c r="G46" s="13" t="s">
        <v>17</v>
      </c>
      <c r="H46" s="13" t="s">
        <v>34</v>
      </c>
      <c r="I46" s="13" t="s">
        <v>23</v>
      </c>
      <c r="J46" s="14"/>
    </row>
    <row r="47" spans="1:10" ht="38.25" x14ac:dyDescent="0.2">
      <c r="A47" s="13">
        <f t="shared" si="1"/>
        <v>44</v>
      </c>
      <c r="B47" s="14" t="s">
        <v>166</v>
      </c>
      <c r="C47" s="14" t="s">
        <v>164</v>
      </c>
      <c r="D47" s="14" t="s">
        <v>117</v>
      </c>
      <c r="E47" s="14" t="s">
        <v>167</v>
      </c>
      <c r="F47" s="14" t="s">
        <v>33</v>
      </c>
      <c r="G47" s="13" t="s">
        <v>17</v>
      </c>
      <c r="H47" s="13" t="s">
        <v>34</v>
      </c>
      <c r="I47" s="13" t="s">
        <v>23</v>
      </c>
      <c r="J47" s="14"/>
    </row>
    <row r="48" spans="1:10" ht="38.25" x14ac:dyDescent="0.2">
      <c r="A48" s="13">
        <f t="shared" si="1"/>
        <v>45</v>
      </c>
      <c r="B48" s="14" t="s">
        <v>168</v>
      </c>
      <c r="C48" s="14" t="s">
        <v>169</v>
      </c>
      <c r="D48" s="14" t="s">
        <v>170</v>
      </c>
      <c r="E48" s="14" t="s">
        <v>171</v>
      </c>
      <c r="F48" s="14" t="s">
        <v>55</v>
      </c>
      <c r="G48" s="13" t="s">
        <v>17</v>
      </c>
      <c r="H48" s="13" t="s">
        <v>34</v>
      </c>
      <c r="I48" s="13" t="s">
        <v>23</v>
      </c>
      <c r="J48" s="14"/>
    </row>
    <row r="49" spans="1:10" ht="38.25" x14ac:dyDescent="0.2">
      <c r="A49" s="13">
        <f t="shared" si="1"/>
        <v>46</v>
      </c>
      <c r="B49" s="14" t="s">
        <v>172</v>
      </c>
      <c r="C49" s="14" t="s">
        <v>68</v>
      </c>
      <c r="D49" s="14" t="s">
        <v>173</v>
      </c>
      <c r="E49" s="14" t="s">
        <v>174</v>
      </c>
      <c r="F49" s="14" t="s">
        <v>55</v>
      </c>
      <c r="G49" s="13" t="s">
        <v>17</v>
      </c>
      <c r="H49" s="13" t="s">
        <v>34</v>
      </c>
      <c r="I49" s="13" t="s">
        <v>23</v>
      </c>
      <c r="J49" s="14"/>
    </row>
    <row r="50" spans="1:10" ht="38.25" x14ac:dyDescent="0.2">
      <c r="A50" s="13">
        <f t="shared" si="1"/>
        <v>47</v>
      </c>
      <c r="B50" s="14" t="s">
        <v>175</v>
      </c>
      <c r="C50" s="14" t="s">
        <v>176</v>
      </c>
      <c r="D50" s="14" t="s">
        <v>173</v>
      </c>
      <c r="E50" s="14" t="s">
        <v>177</v>
      </c>
      <c r="F50" s="14" t="s">
        <v>28</v>
      </c>
      <c r="G50" s="13" t="s">
        <v>17</v>
      </c>
      <c r="H50" s="13" t="s">
        <v>34</v>
      </c>
      <c r="I50" s="13" t="s">
        <v>23</v>
      </c>
      <c r="J50" s="14"/>
    </row>
    <row r="51" spans="1:10" ht="38.25" x14ac:dyDescent="0.2">
      <c r="A51" s="13">
        <f t="shared" si="1"/>
        <v>48</v>
      </c>
      <c r="B51" s="14" t="s">
        <v>178</v>
      </c>
      <c r="C51" s="14" t="s">
        <v>179</v>
      </c>
      <c r="D51" s="14" t="s">
        <v>117</v>
      </c>
      <c r="E51" s="14" t="s">
        <v>180</v>
      </c>
      <c r="F51" s="14" t="s">
        <v>28</v>
      </c>
      <c r="G51" s="13" t="s">
        <v>17</v>
      </c>
      <c r="H51" s="13" t="s">
        <v>19</v>
      </c>
      <c r="I51" s="13" t="s">
        <v>23</v>
      </c>
      <c r="J51" s="14" t="s">
        <v>181</v>
      </c>
    </row>
    <row r="52" spans="1:10" ht="38.25" x14ac:dyDescent="0.2">
      <c r="A52" s="13">
        <f t="shared" si="1"/>
        <v>49</v>
      </c>
      <c r="B52" s="14" t="s">
        <v>182</v>
      </c>
      <c r="C52" s="14" t="s">
        <v>179</v>
      </c>
      <c r="D52" s="14" t="s">
        <v>117</v>
      </c>
      <c r="E52" s="14" t="s">
        <v>183</v>
      </c>
      <c r="F52" s="14" t="s">
        <v>28</v>
      </c>
      <c r="G52" s="13" t="s">
        <v>17</v>
      </c>
      <c r="H52" s="13" t="s">
        <v>19</v>
      </c>
      <c r="I52" s="13" t="s">
        <v>23</v>
      </c>
      <c r="J52" s="14" t="s">
        <v>184</v>
      </c>
    </row>
    <row r="53" spans="1:10" ht="38.25" x14ac:dyDescent="0.2">
      <c r="A53" s="13">
        <f t="shared" si="1"/>
        <v>50</v>
      </c>
      <c r="B53" s="14" t="s">
        <v>185</v>
      </c>
      <c r="C53" s="14" t="s">
        <v>179</v>
      </c>
      <c r="D53" s="14" t="s">
        <v>73</v>
      </c>
      <c r="E53" s="14" t="s">
        <v>186</v>
      </c>
      <c r="F53" s="14" t="s">
        <v>28</v>
      </c>
      <c r="G53" s="13" t="s">
        <v>17</v>
      </c>
      <c r="H53" s="13" t="s">
        <v>19</v>
      </c>
      <c r="I53" s="13" t="s">
        <v>23</v>
      </c>
      <c r="J53" s="14"/>
    </row>
    <row r="54" spans="1:10" ht="38.25" x14ac:dyDescent="0.2">
      <c r="A54" s="13">
        <f t="shared" si="1"/>
        <v>51</v>
      </c>
      <c r="B54" s="14" t="s">
        <v>187</v>
      </c>
      <c r="C54" s="14" t="s">
        <v>179</v>
      </c>
      <c r="D54" s="14" t="s">
        <v>108</v>
      </c>
      <c r="E54" s="14" t="s">
        <v>188</v>
      </c>
      <c r="F54" s="14" t="s">
        <v>33</v>
      </c>
      <c r="G54" s="13" t="s">
        <v>17</v>
      </c>
      <c r="H54" s="13" t="s">
        <v>19</v>
      </c>
      <c r="I54" s="13" t="s">
        <v>23</v>
      </c>
      <c r="J54" s="14" t="s">
        <v>189</v>
      </c>
    </row>
    <row r="55" spans="1:10" ht="38.25" x14ac:dyDescent="0.2">
      <c r="A55" s="13">
        <f t="shared" si="1"/>
        <v>52</v>
      </c>
      <c r="B55" s="14" t="s">
        <v>190</v>
      </c>
      <c r="C55" s="14" t="s">
        <v>68</v>
      </c>
      <c r="D55" s="14" t="s">
        <v>44</v>
      </c>
      <c r="E55" s="14" t="s">
        <v>191</v>
      </c>
      <c r="F55" s="14" t="s">
        <v>28</v>
      </c>
      <c r="G55" s="13" t="s">
        <v>17</v>
      </c>
      <c r="H55" s="13" t="s">
        <v>19</v>
      </c>
      <c r="I55" s="13" t="s">
        <v>23</v>
      </c>
      <c r="J55" s="14"/>
    </row>
    <row r="56" spans="1:10" ht="38.25" x14ac:dyDescent="0.2">
      <c r="A56" s="13">
        <f t="shared" si="1"/>
        <v>53</v>
      </c>
      <c r="B56" s="14" t="s">
        <v>192</v>
      </c>
      <c r="C56" s="14" t="s">
        <v>68</v>
      </c>
      <c r="D56" s="14" t="s">
        <v>44</v>
      </c>
      <c r="E56" s="14" t="s">
        <v>193</v>
      </c>
      <c r="F56" s="14" t="s">
        <v>28</v>
      </c>
      <c r="G56" s="13" t="s">
        <v>17</v>
      </c>
      <c r="H56" s="13" t="s">
        <v>19</v>
      </c>
      <c r="I56" s="13" t="s">
        <v>23</v>
      </c>
      <c r="J56" s="14"/>
    </row>
    <row r="57" spans="1:10" ht="38.25" x14ac:dyDescent="0.2">
      <c r="A57" s="13">
        <f t="shared" si="1"/>
        <v>54</v>
      </c>
      <c r="B57" s="14" t="s">
        <v>194</v>
      </c>
      <c r="C57" s="14" t="s">
        <v>68</v>
      </c>
      <c r="D57" s="14" t="s">
        <v>195</v>
      </c>
      <c r="E57" s="14" t="s">
        <v>196</v>
      </c>
      <c r="F57" s="14" t="s">
        <v>28</v>
      </c>
      <c r="G57" s="13" t="s">
        <v>17</v>
      </c>
      <c r="H57" s="13" t="s">
        <v>19</v>
      </c>
      <c r="I57" s="13" t="s">
        <v>23</v>
      </c>
      <c r="J57" s="14"/>
    </row>
    <row r="58" spans="1:10" ht="38.25" x14ac:dyDescent="0.2">
      <c r="A58" s="13">
        <f t="shared" si="1"/>
        <v>55</v>
      </c>
      <c r="B58" s="14" t="s">
        <v>197</v>
      </c>
      <c r="C58" s="14" t="s">
        <v>39</v>
      </c>
      <c r="D58" s="14" t="s">
        <v>195</v>
      </c>
      <c r="E58" s="14" t="s">
        <v>198</v>
      </c>
      <c r="F58" s="14" t="s">
        <v>16</v>
      </c>
      <c r="G58" s="13" t="s">
        <v>17</v>
      </c>
      <c r="H58" s="13" t="s">
        <v>19</v>
      </c>
      <c r="I58" s="13" t="s">
        <v>23</v>
      </c>
      <c r="J58" s="14"/>
    </row>
    <row r="59" spans="1:10" ht="38.25" x14ac:dyDescent="0.2">
      <c r="A59" s="13">
        <f t="shared" si="1"/>
        <v>56</v>
      </c>
      <c r="B59" s="14" t="s">
        <v>199</v>
      </c>
      <c r="C59" s="14" t="s">
        <v>200</v>
      </c>
      <c r="D59" s="14" t="s">
        <v>117</v>
      </c>
      <c r="E59" s="14" t="s">
        <v>201</v>
      </c>
      <c r="F59" s="14" t="s">
        <v>16</v>
      </c>
      <c r="G59" s="13" t="s">
        <v>17</v>
      </c>
      <c r="H59" s="13" t="s">
        <v>19</v>
      </c>
      <c r="I59" s="13" t="s">
        <v>23</v>
      </c>
      <c r="J59" s="14"/>
    </row>
    <row r="60" spans="1:10" ht="38.25" x14ac:dyDescent="0.2">
      <c r="A60" s="13">
        <f t="shared" si="1"/>
        <v>57</v>
      </c>
      <c r="B60" s="14" t="s">
        <v>202</v>
      </c>
      <c r="C60" s="14" t="s">
        <v>200</v>
      </c>
      <c r="D60" s="14" t="s">
        <v>117</v>
      </c>
      <c r="E60" s="14" t="s">
        <v>203</v>
      </c>
      <c r="F60" s="14" t="s">
        <v>16</v>
      </c>
      <c r="G60" s="13" t="s">
        <v>17</v>
      </c>
      <c r="H60" s="13" t="s">
        <v>19</v>
      </c>
      <c r="I60" s="13" t="s">
        <v>23</v>
      </c>
      <c r="J60" s="14"/>
    </row>
    <row r="61" spans="1:10" ht="38.25" x14ac:dyDescent="0.2">
      <c r="A61" s="13">
        <f t="shared" si="1"/>
        <v>58</v>
      </c>
      <c r="B61" s="14" t="s">
        <v>204</v>
      </c>
      <c r="C61" s="14" t="s">
        <v>205</v>
      </c>
      <c r="D61" s="14" t="s">
        <v>206</v>
      </c>
      <c r="E61" s="14" t="s">
        <v>207</v>
      </c>
      <c r="F61" s="14" t="s">
        <v>55</v>
      </c>
      <c r="G61" s="13" t="s">
        <v>17</v>
      </c>
      <c r="H61" s="13" t="s">
        <v>19</v>
      </c>
      <c r="I61" s="13" t="s">
        <v>23</v>
      </c>
      <c r="J61" s="14"/>
    </row>
    <row r="62" spans="1:10" ht="38.25" x14ac:dyDescent="0.2">
      <c r="A62" s="13">
        <f t="shared" si="1"/>
        <v>59</v>
      </c>
      <c r="B62" s="14" t="s">
        <v>208</v>
      </c>
      <c r="C62" s="14" t="s">
        <v>205</v>
      </c>
      <c r="D62" s="14" t="s">
        <v>73</v>
      </c>
      <c r="E62" s="14" t="s">
        <v>209</v>
      </c>
      <c r="F62" s="14" t="s">
        <v>55</v>
      </c>
      <c r="G62" s="13" t="s">
        <v>17</v>
      </c>
      <c r="H62" s="13" t="s">
        <v>19</v>
      </c>
      <c r="I62" s="13" t="s">
        <v>23</v>
      </c>
      <c r="J62" s="14"/>
    </row>
    <row r="63" spans="1:10" ht="38.25" x14ac:dyDescent="0.2">
      <c r="A63" s="13">
        <f t="shared" si="1"/>
        <v>60</v>
      </c>
      <c r="B63" s="14" t="s">
        <v>210</v>
      </c>
      <c r="C63" s="14" t="s">
        <v>211</v>
      </c>
      <c r="D63" s="14" t="s">
        <v>69</v>
      </c>
      <c r="E63" s="14" t="s">
        <v>212</v>
      </c>
      <c r="F63" s="14" t="s">
        <v>28</v>
      </c>
      <c r="G63" s="13" t="s">
        <v>17</v>
      </c>
      <c r="H63" s="13" t="s">
        <v>19</v>
      </c>
      <c r="I63" s="13" t="s">
        <v>23</v>
      </c>
      <c r="J63" s="14"/>
    </row>
    <row r="64" spans="1:10" ht="38.25" x14ac:dyDescent="0.2">
      <c r="A64" s="13">
        <f t="shared" si="1"/>
        <v>61</v>
      </c>
      <c r="B64" s="14" t="s">
        <v>213</v>
      </c>
      <c r="C64" s="14" t="s">
        <v>211</v>
      </c>
      <c r="D64" s="14" t="s">
        <v>69</v>
      </c>
      <c r="E64" s="14" t="s">
        <v>214</v>
      </c>
      <c r="F64" s="14" t="s">
        <v>28</v>
      </c>
      <c r="G64" s="13" t="s">
        <v>17</v>
      </c>
      <c r="H64" s="13" t="s">
        <v>19</v>
      </c>
      <c r="I64" s="13" t="s">
        <v>23</v>
      </c>
      <c r="J64" s="14"/>
    </row>
    <row r="65" spans="1:10" ht="38.25" x14ac:dyDescent="0.2">
      <c r="A65" s="13">
        <f t="shared" si="1"/>
        <v>62</v>
      </c>
      <c r="B65" s="14" t="s">
        <v>215</v>
      </c>
      <c r="C65" s="14" t="s">
        <v>216</v>
      </c>
      <c r="D65" s="14" t="s">
        <v>65</v>
      </c>
      <c r="E65" s="14" t="s">
        <v>217</v>
      </c>
      <c r="F65" s="14" t="s">
        <v>16</v>
      </c>
      <c r="G65" s="13" t="s">
        <v>17</v>
      </c>
      <c r="H65" s="13" t="s">
        <v>19</v>
      </c>
      <c r="I65" s="13" t="s">
        <v>23</v>
      </c>
      <c r="J65" s="14"/>
    </row>
  </sheetData>
  <autoFilter ref="A3:E7"/>
  <dataValidations count="4">
    <dataValidation type="list" allowBlank="1" showInputMessage="1" showErrorMessage="1" sqref="G4:G7">
      <formula1>"To Do, Doing, Done, Updated"</formula1>
    </dataValidation>
    <dataValidation type="list" allowBlank="1" showInputMessage="1" showErrorMessage="1" sqref="H5:H7">
      <formula1>"iter2, iter3, iter4, iter5"</formula1>
    </dataValidation>
    <dataValidation type="list" allowBlank="1" showInputMessage="1" showErrorMessage="1" sqref="H4">
      <formula1>"iter1, iter2, iter3, iter4"</formula1>
    </dataValidation>
    <dataValidation type="list" allowBlank="1" showInputMessage="1" showErrorMessage="1" sqref="I4:I7">
      <formula1>"none, iter2, iter3, iter4"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Right="0"/>
  </sheetPr>
  <dimension ref="A1:I19"/>
  <sheetViews>
    <sheetView zoomScaleNormal="100" workbookViewId="0">
      <pane ySplit="5" topLeftCell="A6" activePane="bottomLeft" state="frozen"/>
      <selection pane="bottomLeft" activeCell="L9" sqref="L9"/>
    </sheetView>
  </sheetViews>
  <sheetFormatPr defaultColWidth="10.85546875" defaultRowHeight="12.75" x14ac:dyDescent="0.2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15.7109375" style="2" customWidth="1"/>
    <col min="6" max="6" width="10.28515625" style="2" customWidth="1"/>
    <col min="7" max="7" width="9.140625" style="2" customWidth="1"/>
    <col min="8" max="8" width="8.85546875" style="2" customWidth="1"/>
    <col min="9" max="9" width="49.7109375" style="2" customWidth="1"/>
    <col min="10" max="11" width="10.85546875" style="2" customWidth="1"/>
    <col min="12" max="16384" width="10.85546875" style="2"/>
  </cols>
  <sheetData>
    <row r="1" spans="1:9" ht="18" customHeight="1" x14ac:dyDescent="0.2">
      <c r="A1" s="8" t="s">
        <v>218</v>
      </c>
    </row>
    <row r="2" spans="1:9" x14ac:dyDescent="0.2">
      <c r="A2" s="7" t="s">
        <v>219</v>
      </c>
    </row>
    <row r="3" spans="1:9" x14ac:dyDescent="0.2">
      <c r="A3" s="7" t="s">
        <v>220</v>
      </c>
    </row>
    <row r="4" spans="1:9" x14ac:dyDescent="0.2">
      <c r="A4" s="7" t="s">
        <v>221</v>
      </c>
    </row>
    <row r="5" spans="1:9" ht="14.1" customHeight="1" x14ac:dyDescent="0.2">
      <c r="A5" s="4" t="s">
        <v>2</v>
      </c>
      <c r="B5" s="3" t="s">
        <v>222</v>
      </c>
      <c r="C5" s="3" t="s">
        <v>4</v>
      </c>
      <c r="D5" s="3" t="s">
        <v>6</v>
      </c>
      <c r="E5" s="3" t="s">
        <v>7</v>
      </c>
      <c r="F5" s="3" t="s">
        <v>8</v>
      </c>
      <c r="G5" s="5" t="s">
        <v>223</v>
      </c>
      <c r="H5" s="5" t="s">
        <v>224</v>
      </c>
      <c r="I5" s="3" t="s">
        <v>225</v>
      </c>
    </row>
    <row r="6" spans="1:9" ht="27.95" customHeight="1" x14ac:dyDescent="0.2">
      <c r="A6" s="9">
        <f t="shared" ref="A6:A19" si="0">ROW()-5</f>
        <v>1</v>
      </c>
      <c r="B6" s="10" t="s">
        <v>12</v>
      </c>
      <c r="C6" s="10" t="s">
        <v>13</v>
      </c>
      <c r="D6" s="10" t="s">
        <v>15</v>
      </c>
      <c r="E6" s="11" t="s">
        <v>16</v>
      </c>
      <c r="F6" s="9" t="s">
        <v>17</v>
      </c>
      <c r="G6" s="13" t="s">
        <v>226</v>
      </c>
      <c r="H6" s="13" t="s">
        <v>227</v>
      </c>
      <c r="I6" s="10" t="s">
        <v>228</v>
      </c>
    </row>
    <row r="7" spans="1:9" ht="27.95" customHeight="1" x14ac:dyDescent="0.2">
      <c r="A7" s="9">
        <f t="shared" si="0"/>
        <v>2</v>
      </c>
      <c r="B7" s="10" t="s">
        <v>21</v>
      </c>
      <c r="C7" s="10" t="s">
        <v>13</v>
      </c>
      <c r="D7" s="10" t="s">
        <v>22</v>
      </c>
      <c r="E7" s="11" t="s">
        <v>16</v>
      </c>
      <c r="F7" s="9" t="s">
        <v>17</v>
      </c>
      <c r="G7" s="13" t="s">
        <v>229</v>
      </c>
      <c r="H7" s="13" t="s">
        <v>230</v>
      </c>
      <c r="I7" s="10" t="s">
        <v>231</v>
      </c>
    </row>
    <row r="8" spans="1:9" ht="51" x14ac:dyDescent="0.2">
      <c r="A8" s="13">
        <f t="shared" si="0"/>
        <v>3</v>
      </c>
      <c r="B8" s="14" t="s">
        <v>24</v>
      </c>
      <c r="C8" s="14" t="s">
        <v>25</v>
      </c>
      <c r="D8" s="14" t="s">
        <v>27</v>
      </c>
      <c r="E8" s="14" t="s">
        <v>28</v>
      </c>
      <c r="F8" s="13" t="s">
        <v>17</v>
      </c>
      <c r="G8" s="13" t="s">
        <v>232</v>
      </c>
      <c r="H8" s="13" t="s">
        <v>233</v>
      </c>
      <c r="I8" s="14" t="s">
        <v>234</v>
      </c>
    </row>
    <row r="9" spans="1:9" ht="38.25" x14ac:dyDescent="0.2">
      <c r="A9" s="13">
        <f t="shared" si="0"/>
        <v>4</v>
      </c>
      <c r="B9" s="14" t="s">
        <v>30</v>
      </c>
      <c r="C9" s="14" t="s">
        <v>13</v>
      </c>
      <c r="D9" s="14" t="s">
        <v>32</v>
      </c>
      <c r="E9" s="14" t="s">
        <v>33</v>
      </c>
      <c r="F9" s="13" t="s">
        <v>17</v>
      </c>
      <c r="G9" s="13" t="s">
        <v>235</v>
      </c>
      <c r="H9" s="13" t="s">
        <v>236</v>
      </c>
      <c r="I9" s="14" t="s">
        <v>237</v>
      </c>
    </row>
    <row r="10" spans="1:9" ht="38.25" x14ac:dyDescent="0.2">
      <c r="A10" s="13">
        <f t="shared" si="0"/>
        <v>5</v>
      </c>
      <c r="B10" s="14" t="s">
        <v>36</v>
      </c>
      <c r="C10" s="14" t="s">
        <v>13</v>
      </c>
      <c r="D10" s="14" t="s">
        <v>37</v>
      </c>
      <c r="E10" s="14" t="s">
        <v>33</v>
      </c>
      <c r="F10" s="13" t="s">
        <v>17</v>
      </c>
      <c r="G10" s="13" t="s">
        <v>238</v>
      </c>
      <c r="H10" s="13" t="s">
        <v>239</v>
      </c>
      <c r="I10" s="14" t="s">
        <v>240</v>
      </c>
    </row>
    <row r="11" spans="1:9" ht="51" x14ac:dyDescent="0.2">
      <c r="A11" s="13">
        <f t="shared" si="0"/>
        <v>6</v>
      </c>
      <c r="B11" s="14" t="s">
        <v>38</v>
      </c>
      <c r="C11" s="14" t="s">
        <v>39</v>
      </c>
      <c r="D11" s="14" t="s">
        <v>41</v>
      </c>
      <c r="E11" s="14" t="s">
        <v>16</v>
      </c>
      <c r="F11" s="13" t="s">
        <v>17</v>
      </c>
      <c r="G11" s="13" t="s">
        <v>232</v>
      </c>
      <c r="H11" s="13" t="s">
        <v>241</v>
      </c>
      <c r="I11" s="14" t="s">
        <v>242</v>
      </c>
    </row>
    <row r="12" spans="1:9" ht="51" x14ac:dyDescent="0.2">
      <c r="A12" s="13">
        <f t="shared" si="0"/>
        <v>7</v>
      </c>
      <c r="B12" s="14" t="s">
        <v>42</v>
      </c>
      <c r="C12" s="14" t="s">
        <v>43</v>
      </c>
      <c r="D12" s="14" t="s">
        <v>45</v>
      </c>
      <c r="E12" s="14" t="s">
        <v>33</v>
      </c>
      <c r="F12" s="13" t="s">
        <v>17</v>
      </c>
      <c r="G12" s="13" t="s">
        <v>243</v>
      </c>
      <c r="H12" s="13" t="s">
        <v>244</v>
      </c>
      <c r="I12" s="14" t="s">
        <v>245</v>
      </c>
    </row>
    <row r="13" spans="1:9" ht="51" x14ac:dyDescent="0.2">
      <c r="A13" s="13">
        <f t="shared" si="0"/>
        <v>8</v>
      </c>
      <c r="B13" s="14" t="s">
        <v>46</v>
      </c>
      <c r="C13" s="14" t="s">
        <v>43</v>
      </c>
      <c r="D13" s="14" t="s">
        <v>47</v>
      </c>
      <c r="E13" s="14" t="s">
        <v>33</v>
      </c>
      <c r="F13" s="13" t="s">
        <v>17</v>
      </c>
      <c r="G13" s="13" t="s">
        <v>243</v>
      </c>
      <c r="H13" s="13" t="s">
        <v>246</v>
      </c>
      <c r="I13" s="14" t="s">
        <v>247</v>
      </c>
    </row>
    <row r="14" spans="1:9" ht="51" x14ac:dyDescent="0.2">
      <c r="A14" s="13">
        <f t="shared" si="0"/>
        <v>9</v>
      </c>
      <c r="B14" s="14" t="s">
        <v>48</v>
      </c>
      <c r="C14" s="14" t="s">
        <v>43</v>
      </c>
      <c r="D14" s="14" t="s">
        <v>49</v>
      </c>
      <c r="E14" s="14" t="s">
        <v>33</v>
      </c>
      <c r="F14" s="13" t="s">
        <v>17</v>
      </c>
      <c r="G14" s="13" t="s">
        <v>248</v>
      </c>
      <c r="H14" s="13" t="s">
        <v>249</v>
      </c>
      <c r="I14" s="14" t="s">
        <v>250</v>
      </c>
    </row>
    <row r="15" spans="1:9" ht="51" x14ac:dyDescent="0.2">
      <c r="A15" s="13">
        <f t="shared" si="0"/>
        <v>10</v>
      </c>
      <c r="B15" s="14" t="s">
        <v>52</v>
      </c>
      <c r="C15" s="14" t="s">
        <v>53</v>
      </c>
      <c r="D15" s="14" t="s">
        <v>54</v>
      </c>
      <c r="E15" s="14" t="s">
        <v>55</v>
      </c>
      <c r="F15" s="13" t="s">
        <v>17</v>
      </c>
      <c r="G15" s="13" t="s">
        <v>248</v>
      </c>
      <c r="H15" s="13" t="s">
        <v>251</v>
      </c>
      <c r="I15" s="14" t="s">
        <v>252</v>
      </c>
    </row>
    <row r="16" spans="1:9" ht="51" x14ac:dyDescent="0.2">
      <c r="A16" s="13">
        <f t="shared" si="0"/>
        <v>11</v>
      </c>
      <c r="B16" s="14" t="s">
        <v>56</v>
      </c>
      <c r="C16" s="14" t="s">
        <v>57</v>
      </c>
      <c r="D16" s="14" t="s">
        <v>58</v>
      </c>
      <c r="E16" s="14" t="s">
        <v>16</v>
      </c>
      <c r="F16" s="13" t="s">
        <v>17</v>
      </c>
      <c r="G16" s="13" t="s">
        <v>253</v>
      </c>
      <c r="H16" s="13" t="s">
        <v>254</v>
      </c>
      <c r="I16" s="14" t="s">
        <v>255</v>
      </c>
    </row>
    <row r="17" spans="1:9" ht="51" x14ac:dyDescent="0.2">
      <c r="A17" s="13">
        <f t="shared" si="0"/>
        <v>12</v>
      </c>
      <c r="B17" s="14" t="s">
        <v>60</v>
      </c>
      <c r="C17" s="14" t="s">
        <v>61</v>
      </c>
      <c r="D17" s="14" t="s">
        <v>63</v>
      </c>
      <c r="E17" s="14" t="s">
        <v>16</v>
      </c>
      <c r="F17" s="13" t="s">
        <v>17</v>
      </c>
      <c r="G17" s="13" t="s">
        <v>256</v>
      </c>
      <c r="H17" s="13" t="s">
        <v>257</v>
      </c>
      <c r="I17" s="14" t="s">
        <v>258</v>
      </c>
    </row>
    <row r="18" spans="1:9" ht="51" x14ac:dyDescent="0.2">
      <c r="A18" s="13">
        <f t="shared" si="0"/>
        <v>13</v>
      </c>
      <c r="B18" s="14" t="s">
        <v>64</v>
      </c>
      <c r="C18" s="14" t="s">
        <v>25</v>
      </c>
      <c r="D18" s="14" t="s">
        <v>66</v>
      </c>
      <c r="E18" s="14" t="s">
        <v>16</v>
      </c>
      <c r="F18" s="13" t="s">
        <v>17</v>
      </c>
      <c r="G18" s="13" t="s">
        <v>226</v>
      </c>
      <c r="H18" s="13" t="s">
        <v>233</v>
      </c>
      <c r="I18" s="14" t="s">
        <v>259</v>
      </c>
    </row>
    <row r="19" spans="1:9" ht="51" x14ac:dyDescent="0.2">
      <c r="A19" s="13">
        <f t="shared" si="0"/>
        <v>14</v>
      </c>
      <c r="B19" s="14" t="s">
        <v>67</v>
      </c>
      <c r="C19" s="14" t="s">
        <v>68</v>
      </c>
      <c r="D19" s="14" t="s">
        <v>70</v>
      </c>
      <c r="E19" s="14" t="s">
        <v>28</v>
      </c>
      <c r="F19" s="13" t="s">
        <v>17</v>
      </c>
      <c r="G19" s="13" t="s">
        <v>260</v>
      </c>
      <c r="H19" s="13" t="s">
        <v>261</v>
      </c>
      <c r="I19" s="14" t="s">
        <v>262</v>
      </c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Right="0"/>
  </sheetPr>
  <dimension ref="A1:I21"/>
  <sheetViews>
    <sheetView zoomScaleNormal="100" workbookViewId="0">
      <pane ySplit="5" topLeftCell="A15" activePane="bottomLeft" state="frozen"/>
      <selection pane="bottomLeft" activeCell="L9" sqref="L9"/>
    </sheetView>
  </sheetViews>
  <sheetFormatPr defaultColWidth="10.85546875" defaultRowHeight="12.75" x14ac:dyDescent="0.2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bestFit="1" customWidth="1"/>
    <col min="6" max="6" width="10.28515625" style="2" customWidth="1"/>
    <col min="7" max="7" width="8.7109375" style="2" customWidth="1"/>
    <col min="8" max="8" width="10.5703125" style="2" customWidth="1"/>
    <col min="9" max="9" width="49.7109375" style="2" customWidth="1"/>
    <col min="10" max="11" width="10.85546875" style="2" customWidth="1"/>
    <col min="12" max="16384" width="10.85546875" style="2"/>
  </cols>
  <sheetData>
    <row r="1" spans="1:9" ht="18" customHeight="1" x14ac:dyDescent="0.2">
      <c r="A1" s="8" t="s">
        <v>263</v>
      </c>
    </row>
    <row r="2" spans="1:9" x14ac:dyDescent="0.2">
      <c r="A2" s="7" t="s">
        <v>219</v>
      </c>
    </row>
    <row r="3" spans="1:9" x14ac:dyDescent="0.2">
      <c r="A3" s="7" t="s">
        <v>220</v>
      </c>
    </row>
    <row r="4" spans="1:9" x14ac:dyDescent="0.2">
      <c r="A4" s="7" t="s">
        <v>221</v>
      </c>
    </row>
    <row r="5" spans="1:9" ht="14.1" customHeight="1" x14ac:dyDescent="0.2">
      <c r="A5" s="4" t="s">
        <v>2</v>
      </c>
      <c r="B5" s="3" t="s">
        <v>222</v>
      </c>
      <c r="C5" s="3" t="s">
        <v>4</v>
      </c>
      <c r="D5" s="3" t="s">
        <v>6</v>
      </c>
      <c r="E5" s="3" t="s">
        <v>7</v>
      </c>
      <c r="F5" s="3" t="s">
        <v>8</v>
      </c>
      <c r="G5" s="5" t="s">
        <v>223</v>
      </c>
      <c r="H5" s="5" t="s">
        <v>224</v>
      </c>
      <c r="I5" s="3" t="s">
        <v>225</v>
      </c>
    </row>
    <row r="6" spans="1:9" ht="27.95" customHeight="1" x14ac:dyDescent="0.2">
      <c r="A6" s="9">
        <f t="shared" ref="A6:A21" si="0">ROW()-5</f>
        <v>1</v>
      </c>
      <c r="B6" s="10" t="s">
        <v>48</v>
      </c>
      <c r="C6" s="10" t="s">
        <v>43</v>
      </c>
      <c r="D6" s="10" t="s">
        <v>49</v>
      </c>
      <c r="E6" s="11" t="s">
        <v>33</v>
      </c>
      <c r="F6" s="9" t="s">
        <v>10</v>
      </c>
      <c r="G6" s="13" t="s">
        <v>248</v>
      </c>
      <c r="H6" s="13" t="s">
        <v>249</v>
      </c>
      <c r="I6" s="10" t="s">
        <v>250</v>
      </c>
    </row>
    <row r="7" spans="1:9" ht="27.95" customHeight="1" x14ac:dyDescent="0.2">
      <c r="A7" s="9">
        <f t="shared" si="0"/>
        <v>2</v>
      </c>
      <c r="B7" s="10" t="s">
        <v>71</v>
      </c>
      <c r="C7" s="10" t="s">
        <v>72</v>
      </c>
      <c r="D7" s="10" t="s">
        <v>74</v>
      </c>
      <c r="E7" s="11" t="s">
        <v>33</v>
      </c>
      <c r="F7" s="9" t="s">
        <v>17</v>
      </c>
      <c r="G7" s="13" t="s">
        <v>264</v>
      </c>
      <c r="H7" s="13" t="s">
        <v>265</v>
      </c>
      <c r="I7" s="10" t="s">
        <v>266</v>
      </c>
    </row>
    <row r="8" spans="1:9" ht="38.25" x14ac:dyDescent="0.2">
      <c r="A8" s="13">
        <f t="shared" si="0"/>
        <v>3</v>
      </c>
      <c r="B8" s="14" t="s">
        <v>75</v>
      </c>
      <c r="C8" s="14" t="s">
        <v>72</v>
      </c>
      <c r="D8" s="14" t="s">
        <v>76</v>
      </c>
      <c r="E8" s="14" t="s">
        <v>33</v>
      </c>
      <c r="F8" s="13" t="s">
        <v>17</v>
      </c>
      <c r="G8" s="13" t="s">
        <v>248</v>
      </c>
      <c r="H8" s="13" t="s">
        <v>267</v>
      </c>
      <c r="I8" s="14" t="s">
        <v>268</v>
      </c>
    </row>
    <row r="9" spans="1:9" ht="51" x14ac:dyDescent="0.2">
      <c r="A9" s="13">
        <f t="shared" si="0"/>
        <v>4</v>
      </c>
      <c r="B9" s="14" t="s">
        <v>77</v>
      </c>
      <c r="C9" s="14" t="s">
        <v>72</v>
      </c>
      <c r="D9" s="14" t="s">
        <v>78</v>
      </c>
      <c r="E9" s="14" t="s">
        <v>28</v>
      </c>
      <c r="F9" s="13" t="s">
        <v>17</v>
      </c>
      <c r="G9" s="13" t="s">
        <v>264</v>
      </c>
      <c r="H9" s="13" t="s">
        <v>265</v>
      </c>
      <c r="I9" s="14" t="s">
        <v>269</v>
      </c>
    </row>
    <row r="10" spans="1:9" ht="38.25" x14ac:dyDescent="0.2">
      <c r="A10" s="13">
        <f t="shared" si="0"/>
        <v>5</v>
      </c>
      <c r="B10" s="14" t="s">
        <v>80</v>
      </c>
      <c r="C10" s="14" t="s">
        <v>72</v>
      </c>
      <c r="D10" s="14" t="s">
        <v>82</v>
      </c>
      <c r="E10" s="14" t="s">
        <v>28</v>
      </c>
      <c r="F10" s="13" t="s">
        <v>17</v>
      </c>
      <c r="G10" s="13" t="s">
        <v>270</v>
      </c>
      <c r="H10" s="13" t="s">
        <v>271</v>
      </c>
      <c r="I10" s="14" t="s">
        <v>272</v>
      </c>
    </row>
    <row r="11" spans="1:9" ht="51" x14ac:dyDescent="0.2">
      <c r="A11" s="13">
        <f t="shared" si="0"/>
        <v>6</v>
      </c>
      <c r="B11" s="14" t="s">
        <v>84</v>
      </c>
      <c r="C11" s="14" t="s">
        <v>85</v>
      </c>
      <c r="D11" s="14" t="s">
        <v>87</v>
      </c>
      <c r="E11" s="14" t="s">
        <v>28</v>
      </c>
      <c r="F11" s="13" t="s">
        <v>17</v>
      </c>
      <c r="G11" s="13" t="s">
        <v>273</v>
      </c>
      <c r="H11" s="13" t="s">
        <v>274</v>
      </c>
      <c r="I11" s="14" t="s">
        <v>275</v>
      </c>
    </row>
    <row r="12" spans="1:9" ht="51" x14ac:dyDescent="0.2">
      <c r="A12" s="13">
        <f t="shared" si="0"/>
        <v>7</v>
      </c>
      <c r="B12" s="14" t="s">
        <v>89</v>
      </c>
      <c r="C12" s="14" t="s">
        <v>85</v>
      </c>
      <c r="D12" s="14" t="s">
        <v>91</v>
      </c>
      <c r="E12" s="14" t="s">
        <v>28</v>
      </c>
      <c r="F12" s="13" t="s">
        <v>17</v>
      </c>
      <c r="G12" s="13" t="s">
        <v>276</v>
      </c>
      <c r="H12" s="13" t="s">
        <v>277</v>
      </c>
      <c r="I12" s="14" t="s">
        <v>278</v>
      </c>
    </row>
    <row r="13" spans="1:9" ht="51" x14ac:dyDescent="0.2">
      <c r="A13" s="13">
        <f t="shared" si="0"/>
        <v>8</v>
      </c>
      <c r="B13" s="14" t="s">
        <v>92</v>
      </c>
      <c r="C13" s="14" t="s">
        <v>93</v>
      </c>
      <c r="D13" s="14" t="s">
        <v>95</v>
      </c>
      <c r="E13" s="14" t="s">
        <v>16</v>
      </c>
      <c r="F13" s="13" t="s">
        <v>17</v>
      </c>
      <c r="G13" s="13" t="s">
        <v>279</v>
      </c>
      <c r="H13" s="13" t="s">
        <v>280</v>
      </c>
      <c r="I13" s="14" t="s">
        <v>281</v>
      </c>
    </row>
    <row r="14" spans="1:9" ht="51" x14ac:dyDescent="0.2">
      <c r="A14" s="13">
        <f t="shared" si="0"/>
        <v>9</v>
      </c>
      <c r="B14" s="14" t="s">
        <v>96</v>
      </c>
      <c r="C14" s="14" t="s">
        <v>93</v>
      </c>
      <c r="D14" s="14" t="s">
        <v>97</v>
      </c>
      <c r="E14" s="14" t="s">
        <v>16</v>
      </c>
      <c r="F14" s="13" t="s">
        <v>17</v>
      </c>
      <c r="G14" s="13" t="s">
        <v>279</v>
      </c>
      <c r="H14" s="13" t="s">
        <v>282</v>
      </c>
      <c r="I14" s="14" t="s">
        <v>283</v>
      </c>
    </row>
    <row r="15" spans="1:9" ht="51" x14ac:dyDescent="0.2">
      <c r="A15" s="13">
        <f t="shared" si="0"/>
        <v>10</v>
      </c>
      <c r="B15" s="14" t="s">
        <v>98</v>
      </c>
      <c r="C15" s="14" t="s">
        <v>99</v>
      </c>
      <c r="D15" s="14" t="s">
        <v>101</v>
      </c>
      <c r="E15" s="14" t="s">
        <v>16</v>
      </c>
      <c r="F15" s="13" t="s">
        <v>17</v>
      </c>
      <c r="G15" s="13" t="s">
        <v>284</v>
      </c>
      <c r="H15" s="13" t="s">
        <v>285</v>
      </c>
      <c r="I15" s="14" t="s">
        <v>286</v>
      </c>
    </row>
    <row r="16" spans="1:9" ht="51" x14ac:dyDescent="0.2">
      <c r="A16" s="13">
        <f t="shared" si="0"/>
        <v>11</v>
      </c>
      <c r="B16" s="14" t="s">
        <v>103</v>
      </c>
      <c r="C16" s="14" t="s">
        <v>99</v>
      </c>
      <c r="D16" s="14" t="s">
        <v>105</v>
      </c>
      <c r="E16" s="14" t="s">
        <v>16</v>
      </c>
      <c r="F16" s="13" t="s">
        <v>17</v>
      </c>
      <c r="G16" s="13" t="s">
        <v>287</v>
      </c>
      <c r="H16" s="13" t="s">
        <v>288</v>
      </c>
      <c r="I16" s="14" t="s">
        <v>289</v>
      </c>
    </row>
    <row r="17" spans="1:9" ht="51" x14ac:dyDescent="0.2">
      <c r="A17" s="13">
        <f t="shared" si="0"/>
        <v>12</v>
      </c>
      <c r="B17" s="14" t="s">
        <v>106</v>
      </c>
      <c r="C17" s="14" t="s">
        <v>107</v>
      </c>
      <c r="D17" s="14" t="s">
        <v>109</v>
      </c>
      <c r="E17" s="14" t="s">
        <v>33</v>
      </c>
      <c r="F17" s="13" t="s">
        <v>17</v>
      </c>
      <c r="G17" s="13" t="s">
        <v>287</v>
      </c>
      <c r="H17" s="13" t="s">
        <v>290</v>
      </c>
      <c r="I17" s="14" t="s">
        <v>291</v>
      </c>
    </row>
    <row r="18" spans="1:9" ht="51" x14ac:dyDescent="0.2">
      <c r="A18" s="13">
        <f t="shared" si="0"/>
        <v>13</v>
      </c>
      <c r="B18" s="14" t="s">
        <v>110</v>
      </c>
      <c r="C18" s="14" t="s">
        <v>99</v>
      </c>
      <c r="D18" s="14" t="s">
        <v>111</v>
      </c>
      <c r="E18" s="14" t="s">
        <v>16</v>
      </c>
      <c r="F18" s="13" t="s">
        <v>17</v>
      </c>
      <c r="G18" s="13" t="s">
        <v>292</v>
      </c>
      <c r="H18" s="13" t="s">
        <v>293</v>
      </c>
      <c r="I18" s="14" t="s">
        <v>294</v>
      </c>
    </row>
    <row r="19" spans="1:9" ht="51" x14ac:dyDescent="0.2">
      <c r="A19" s="13">
        <f t="shared" si="0"/>
        <v>14</v>
      </c>
      <c r="B19" s="14" t="s">
        <v>112</v>
      </c>
      <c r="C19" s="14" t="s">
        <v>113</v>
      </c>
      <c r="D19" s="14" t="s">
        <v>114</v>
      </c>
      <c r="E19" s="14" t="s">
        <v>28</v>
      </c>
      <c r="F19" s="13" t="s">
        <v>17</v>
      </c>
      <c r="G19" s="13" t="s">
        <v>273</v>
      </c>
      <c r="H19" s="13" t="s">
        <v>295</v>
      </c>
      <c r="I19" s="14" t="s">
        <v>296</v>
      </c>
    </row>
    <row r="20" spans="1:9" ht="38.25" x14ac:dyDescent="0.2">
      <c r="A20" s="13">
        <f t="shared" si="0"/>
        <v>15</v>
      </c>
      <c r="B20" s="14" t="s">
        <v>115</v>
      </c>
      <c r="C20" s="14" t="s">
        <v>116</v>
      </c>
      <c r="D20" s="14" t="s">
        <v>118</v>
      </c>
      <c r="E20" s="14" t="s">
        <v>33</v>
      </c>
      <c r="F20" s="13" t="s">
        <v>17</v>
      </c>
      <c r="G20" s="13" t="s">
        <v>297</v>
      </c>
      <c r="H20" s="13" t="s">
        <v>298</v>
      </c>
      <c r="I20" s="14" t="s">
        <v>299</v>
      </c>
    </row>
    <row r="21" spans="1:9" ht="38.25" x14ac:dyDescent="0.2">
      <c r="A21" s="13">
        <f t="shared" si="0"/>
        <v>16</v>
      </c>
      <c r="B21" s="14" t="s">
        <v>119</v>
      </c>
      <c r="C21" s="14" t="s">
        <v>116</v>
      </c>
      <c r="D21" s="14" t="s">
        <v>120</v>
      </c>
      <c r="E21" s="14" t="s">
        <v>33</v>
      </c>
      <c r="F21" s="13" t="s">
        <v>17</v>
      </c>
      <c r="G21" s="13" t="s">
        <v>297</v>
      </c>
      <c r="H21" s="13" t="s">
        <v>300</v>
      </c>
      <c r="I21" s="14" t="s">
        <v>301</v>
      </c>
    </row>
  </sheetData>
  <dataValidations count="2">
    <dataValidation type="list" allowBlank="1" showInputMessage="1" showErrorMessage="1" sqref="G6:H7">
      <formula1>"Pending, Doing, Done"</formula1>
    </dataValidation>
    <dataValidation type="list" allowBlank="1" showInputMessage="1" showErrorMessage="1" sqref="F6:F7">
      <formula1>"To Do, Doing, Done"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Right="0"/>
  </sheetPr>
  <dimension ref="A1:I25"/>
  <sheetViews>
    <sheetView zoomScaleNormal="100" workbookViewId="0">
      <pane ySplit="5" topLeftCell="A18" activePane="bottomLeft" state="frozen"/>
      <selection pane="bottomLeft" activeCell="A2" sqref="A2"/>
    </sheetView>
  </sheetViews>
  <sheetFormatPr defaultColWidth="10.85546875" defaultRowHeight="12.75" x14ac:dyDescent="0.2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9" style="2" bestFit="1" customWidth="1"/>
    <col min="6" max="6" width="10.28515625" style="2" customWidth="1"/>
    <col min="7" max="7" width="9.85546875" style="2" customWidth="1"/>
    <col min="8" max="8" width="10.5703125" style="2" customWidth="1"/>
    <col min="9" max="9" width="49.7109375" style="2" customWidth="1"/>
    <col min="10" max="11" width="10.85546875" style="2" customWidth="1"/>
    <col min="12" max="16384" width="10.85546875" style="2"/>
  </cols>
  <sheetData>
    <row r="1" spans="1:9" ht="18" customHeight="1" x14ac:dyDescent="0.2">
      <c r="A1" s="8" t="s">
        <v>302</v>
      </c>
    </row>
    <row r="2" spans="1:9" x14ac:dyDescent="0.2">
      <c r="A2" s="7" t="s">
        <v>219</v>
      </c>
    </row>
    <row r="3" spans="1:9" x14ac:dyDescent="0.2">
      <c r="A3" s="7" t="s">
        <v>220</v>
      </c>
    </row>
    <row r="4" spans="1:9" x14ac:dyDescent="0.2">
      <c r="A4" s="7" t="s">
        <v>221</v>
      </c>
    </row>
    <row r="5" spans="1:9" ht="14.1" customHeight="1" x14ac:dyDescent="0.2">
      <c r="A5" s="4" t="s">
        <v>2</v>
      </c>
      <c r="B5" s="3" t="s">
        <v>222</v>
      </c>
      <c r="C5" s="3" t="s">
        <v>4</v>
      </c>
      <c r="D5" s="3" t="s">
        <v>6</v>
      </c>
      <c r="E5" s="3" t="s">
        <v>7</v>
      </c>
      <c r="F5" s="3" t="s">
        <v>8</v>
      </c>
      <c r="G5" s="5" t="s">
        <v>223</v>
      </c>
      <c r="H5" s="5" t="s">
        <v>224</v>
      </c>
      <c r="I5" s="3" t="s">
        <v>225</v>
      </c>
    </row>
    <row r="6" spans="1:9" ht="27.95" customHeight="1" x14ac:dyDescent="0.2">
      <c r="A6" s="9">
        <f t="shared" ref="A6:A25" si="0">ROW()-5</f>
        <v>1</v>
      </c>
      <c r="B6" s="10" t="s">
        <v>30</v>
      </c>
      <c r="C6" s="10" t="s">
        <v>13</v>
      </c>
      <c r="D6" s="10" t="s">
        <v>32</v>
      </c>
      <c r="E6" s="11" t="s">
        <v>33</v>
      </c>
      <c r="F6" s="9" t="s">
        <v>10</v>
      </c>
      <c r="G6" s="13" t="s">
        <v>235</v>
      </c>
      <c r="H6" s="13" t="s">
        <v>236</v>
      </c>
      <c r="I6" s="10" t="s">
        <v>237</v>
      </c>
    </row>
    <row r="7" spans="1:9" ht="27.95" customHeight="1" x14ac:dyDescent="0.2">
      <c r="A7" s="9">
        <f t="shared" si="0"/>
        <v>2</v>
      </c>
      <c r="B7" s="10" t="s">
        <v>77</v>
      </c>
      <c r="C7" s="10" t="s">
        <v>72</v>
      </c>
      <c r="D7" s="10" t="s">
        <v>78</v>
      </c>
      <c r="E7" s="11" t="s">
        <v>28</v>
      </c>
      <c r="F7" s="9" t="s">
        <v>10</v>
      </c>
      <c r="G7" s="13" t="s">
        <v>264</v>
      </c>
      <c r="H7" s="13" t="s">
        <v>265</v>
      </c>
      <c r="I7" s="10" t="s">
        <v>269</v>
      </c>
    </row>
    <row r="8" spans="1:9" ht="51" x14ac:dyDescent="0.2">
      <c r="A8" s="13">
        <f t="shared" si="0"/>
        <v>3</v>
      </c>
      <c r="B8" s="14" t="s">
        <v>121</v>
      </c>
      <c r="C8" s="14" t="s">
        <v>122</v>
      </c>
      <c r="D8" s="14" t="s">
        <v>123</v>
      </c>
      <c r="E8" s="14" t="s">
        <v>16</v>
      </c>
      <c r="F8" s="13" t="s">
        <v>17</v>
      </c>
      <c r="G8" s="13" t="s">
        <v>303</v>
      </c>
      <c r="H8" s="13" t="s">
        <v>304</v>
      </c>
      <c r="I8" s="14" t="s">
        <v>305</v>
      </c>
    </row>
    <row r="9" spans="1:9" ht="51" x14ac:dyDescent="0.2">
      <c r="A9" s="13">
        <f t="shared" si="0"/>
        <v>4</v>
      </c>
      <c r="B9" s="14" t="s">
        <v>124</v>
      </c>
      <c r="C9" s="14" t="s">
        <v>122</v>
      </c>
      <c r="D9" s="14" t="s">
        <v>125</v>
      </c>
      <c r="E9" s="14" t="s">
        <v>16</v>
      </c>
      <c r="F9" s="13" t="s">
        <v>17</v>
      </c>
      <c r="G9" s="13" t="s">
        <v>303</v>
      </c>
      <c r="H9" s="13" t="s">
        <v>304</v>
      </c>
      <c r="I9" s="14" t="s">
        <v>306</v>
      </c>
    </row>
    <row r="10" spans="1:9" ht="76.5" x14ac:dyDescent="0.2">
      <c r="A10" s="13">
        <f t="shared" si="0"/>
        <v>5</v>
      </c>
      <c r="B10" s="14" t="s">
        <v>126</v>
      </c>
      <c r="C10" s="14" t="s">
        <v>127</v>
      </c>
      <c r="D10" s="14" t="s">
        <v>128</v>
      </c>
      <c r="E10" s="14" t="s">
        <v>16</v>
      </c>
      <c r="F10" s="13" t="s">
        <v>17</v>
      </c>
      <c r="G10" s="13" t="s">
        <v>303</v>
      </c>
      <c r="H10" s="13" t="s">
        <v>307</v>
      </c>
      <c r="I10" s="14" t="s">
        <v>308</v>
      </c>
    </row>
    <row r="11" spans="1:9" ht="51" x14ac:dyDescent="0.2">
      <c r="A11" s="13">
        <f t="shared" si="0"/>
        <v>6</v>
      </c>
      <c r="B11" s="14" t="s">
        <v>130</v>
      </c>
      <c r="C11" s="14" t="s">
        <v>127</v>
      </c>
      <c r="D11" s="14" t="s">
        <v>132</v>
      </c>
      <c r="E11" s="14" t="s">
        <v>16</v>
      </c>
      <c r="F11" s="13" t="s">
        <v>17</v>
      </c>
      <c r="G11" s="13" t="s">
        <v>303</v>
      </c>
      <c r="H11" s="13" t="s">
        <v>307</v>
      </c>
      <c r="I11" s="14" t="s">
        <v>309</v>
      </c>
    </row>
    <row r="12" spans="1:9" ht="51" x14ac:dyDescent="0.2">
      <c r="A12" s="13">
        <f t="shared" si="0"/>
        <v>7</v>
      </c>
      <c r="B12" s="14" t="s">
        <v>133</v>
      </c>
      <c r="C12" s="14" t="s">
        <v>122</v>
      </c>
      <c r="D12" s="14" t="s">
        <v>135</v>
      </c>
      <c r="E12" s="14" t="s">
        <v>16</v>
      </c>
      <c r="F12" s="13" t="s">
        <v>17</v>
      </c>
      <c r="G12" s="13" t="s">
        <v>303</v>
      </c>
      <c r="H12" s="13" t="s">
        <v>310</v>
      </c>
      <c r="I12" s="14" t="s">
        <v>311</v>
      </c>
    </row>
    <row r="13" spans="1:9" ht="38.25" x14ac:dyDescent="0.2">
      <c r="A13" s="13">
        <f t="shared" si="0"/>
        <v>8</v>
      </c>
      <c r="B13" s="14" t="s">
        <v>137</v>
      </c>
      <c r="C13" s="14" t="s">
        <v>122</v>
      </c>
      <c r="D13" s="14" t="s">
        <v>138</v>
      </c>
      <c r="E13" s="14" t="s">
        <v>16</v>
      </c>
      <c r="F13" s="13" t="s">
        <v>17</v>
      </c>
      <c r="G13" s="13" t="s">
        <v>303</v>
      </c>
      <c r="H13" s="13" t="s">
        <v>310</v>
      </c>
      <c r="I13" s="14" t="s">
        <v>312</v>
      </c>
    </row>
    <row r="14" spans="1:9" ht="51" x14ac:dyDescent="0.2">
      <c r="A14" s="13">
        <f t="shared" si="0"/>
        <v>9</v>
      </c>
      <c r="B14" s="14" t="s">
        <v>139</v>
      </c>
      <c r="C14" s="14" t="s">
        <v>140</v>
      </c>
      <c r="D14" s="14" t="s">
        <v>142</v>
      </c>
      <c r="E14" s="14" t="s">
        <v>16</v>
      </c>
      <c r="F14" s="13" t="s">
        <v>17</v>
      </c>
      <c r="G14" s="13" t="s">
        <v>303</v>
      </c>
      <c r="H14" s="13" t="s">
        <v>313</v>
      </c>
      <c r="I14" s="14" t="s">
        <v>314</v>
      </c>
    </row>
    <row r="15" spans="1:9" ht="51" x14ac:dyDescent="0.2">
      <c r="A15" s="13">
        <f t="shared" si="0"/>
        <v>10</v>
      </c>
      <c r="B15" s="14" t="s">
        <v>143</v>
      </c>
      <c r="C15" s="14" t="s">
        <v>144</v>
      </c>
      <c r="D15" s="14" t="s">
        <v>145</v>
      </c>
      <c r="E15" s="14" t="s">
        <v>16</v>
      </c>
      <c r="F15" s="13" t="s">
        <v>17</v>
      </c>
      <c r="G15" s="13" t="s">
        <v>303</v>
      </c>
      <c r="H15" s="13" t="s">
        <v>310</v>
      </c>
      <c r="I15" s="14" t="s">
        <v>315</v>
      </c>
    </row>
    <row r="16" spans="1:9" ht="51" x14ac:dyDescent="0.2">
      <c r="A16" s="13">
        <f t="shared" si="0"/>
        <v>11</v>
      </c>
      <c r="B16" s="14" t="s">
        <v>146</v>
      </c>
      <c r="C16" s="14" t="s">
        <v>147</v>
      </c>
      <c r="D16" s="14" t="s">
        <v>148</v>
      </c>
      <c r="E16" s="14" t="s">
        <v>33</v>
      </c>
      <c r="F16" s="13" t="s">
        <v>17</v>
      </c>
      <c r="G16" s="13" t="s">
        <v>316</v>
      </c>
      <c r="H16" s="13" t="s">
        <v>317</v>
      </c>
      <c r="I16" s="14" t="s">
        <v>318</v>
      </c>
    </row>
    <row r="17" spans="1:9" ht="51" x14ac:dyDescent="0.2">
      <c r="A17" s="13">
        <f t="shared" si="0"/>
        <v>12</v>
      </c>
      <c r="B17" s="14" t="s">
        <v>150</v>
      </c>
      <c r="C17" s="14" t="s">
        <v>147</v>
      </c>
      <c r="D17" s="14" t="s">
        <v>151</v>
      </c>
      <c r="E17" s="14" t="s">
        <v>33</v>
      </c>
      <c r="F17" s="13" t="s">
        <v>17</v>
      </c>
      <c r="G17" s="13" t="s">
        <v>316</v>
      </c>
      <c r="H17" s="13" t="s">
        <v>319</v>
      </c>
      <c r="I17" s="14" t="s">
        <v>320</v>
      </c>
    </row>
    <row r="18" spans="1:9" ht="51" x14ac:dyDescent="0.2">
      <c r="A18" s="13">
        <f t="shared" si="0"/>
        <v>13</v>
      </c>
      <c r="B18" s="14" t="s">
        <v>153</v>
      </c>
      <c r="C18" s="14" t="s">
        <v>147</v>
      </c>
      <c r="D18" s="14" t="s">
        <v>155</v>
      </c>
      <c r="E18" s="14" t="s">
        <v>33</v>
      </c>
      <c r="F18" s="13" t="s">
        <v>17</v>
      </c>
      <c r="G18" s="13" t="s">
        <v>316</v>
      </c>
      <c r="H18" s="13" t="s">
        <v>321</v>
      </c>
      <c r="I18" s="14" t="s">
        <v>322</v>
      </c>
    </row>
    <row r="19" spans="1:9" ht="51" x14ac:dyDescent="0.2">
      <c r="A19" s="13">
        <f t="shared" si="0"/>
        <v>14</v>
      </c>
      <c r="B19" s="14" t="s">
        <v>157</v>
      </c>
      <c r="C19" s="14" t="s">
        <v>158</v>
      </c>
      <c r="D19" s="14" t="s">
        <v>159</v>
      </c>
      <c r="E19" s="14" t="s">
        <v>55</v>
      </c>
      <c r="F19" s="13" t="s">
        <v>17</v>
      </c>
      <c r="G19" s="13" t="s">
        <v>323</v>
      </c>
      <c r="H19" s="13" t="s">
        <v>324</v>
      </c>
      <c r="I19" s="14" t="s">
        <v>325</v>
      </c>
    </row>
    <row r="20" spans="1:9" ht="38.25" x14ac:dyDescent="0.2">
      <c r="A20" s="13">
        <f t="shared" si="0"/>
        <v>15</v>
      </c>
      <c r="B20" s="14" t="s">
        <v>160</v>
      </c>
      <c r="C20" s="14" t="s">
        <v>158</v>
      </c>
      <c r="D20" s="14" t="s">
        <v>161</v>
      </c>
      <c r="E20" s="14" t="s">
        <v>55</v>
      </c>
      <c r="F20" s="13" t="s">
        <v>17</v>
      </c>
      <c r="G20" s="13" t="s">
        <v>323</v>
      </c>
      <c r="H20" s="13" t="s">
        <v>326</v>
      </c>
      <c r="I20" s="14" t="s">
        <v>327</v>
      </c>
    </row>
    <row r="21" spans="1:9" ht="51" x14ac:dyDescent="0.2">
      <c r="A21" s="13">
        <f t="shared" si="0"/>
        <v>16</v>
      </c>
      <c r="B21" s="14" t="s">
        <v>163</v>
      </c>
      <c r="C21" s="14" t="s">
        <v>164</v>
      </c>
      <c r="D21" s="14" t="s">
        <v>165</v>
      </c>
      <c r="E21" s="14" t="s">
        <v>33</v>
      </c>
      <c r="F21" s="13" t="s">
        <v>17</v>
      </c>
      <c r="G21" s="13" t="s">
        <v>328</v>
      </c>
      <c r="H21" s="13" t="s">
        <v>329</v>
      </c>
      <c r="I21" s="14" t="s">
        <v>330</v>
      </c>
    </row>
    <row r="22" spans="1:9" ht="51" x14ac:dyDescent="0.2">
      <c r="A22" s="13">
        <f t="shared" si="0"/>
        <v>17</v>
      </c>
      <c r="B22" s="14" t="s">
        <v>166</v>
      </c>
      <c r="C22" s="14" t="s">
        <v>164</v>
      </c>
      <c r="D22" s="14" t="s">
        <v>167</v>
      </c>
      <c r="E22" s="14" t="s">
        <v>33</v>
      </c>
      <c r="F22" s="13" t="s">
        <v>17</v>
      </c>
      <c r="G22" s="13" t="s">
        <v>328</v>
      </c>
      <c r="H22" s="13" t="s">
        <v>329</v>
      </c>
      <c r="I22" s="14" t="s">
        <v>331</v>
      </c>
    </row>
    <row r="23" spans="1:9" ht="51" x14ac:dyDescent="0.2">
      <c r="A23" s="13">
        <f t="shared" si="0"/>
        <v>18</v>
      </c>
      <c r="B23" s="14" t="s">
        <v>168</v>
      </c>
      <c r="C23" s="14" t="s">
        <v>169</v>
      </c>
      <c r="D23" s="14" t="s">
        <v>171</v>
      </c>
      <c r="E23" s="14" t="s">
        <v>55</v>
      </c>
      <c r="F23" s="13" t="s">
        <v>17</v>
      </c>
      <c r="G23" s="13" t="s">
        <v>332</v>
      </c>
      <c r="H23" s="13" t="s">
        <v>333</v>
      </c>
      <c r="I23" s="14" t="s">
        <v>334</v>
      </c>
    </row>
    <row r="24" spans="1:9" ht="51" x14ac:dyDescent="0.2">
      <c r="A24" s="13">
        <f t="shared" si="0"/>
        <v>19</v>
      </c>
      <c r="B24" s="14" t="s">
        <v>172</v>
      </c>
      <c r="C24" s="14" t="s">
        <v>68</v>
      </c>
      <c r="D24" s="14" t="s">
        <v>174</v>
      </c>
      <c r="E24" s="14" t="s">
        <v>55</v>
      </c>
      <c r="F24" s="13" t="s">
        <v>17</v>
      </c>
      <c r="G24" s="13" t="s">
        <v>226</v>
      </c>
      <c r="H24" s="13" t="s">
        <v>261</v>
      </c>
      <c r="I24" s="14" t="s">
        <v>335</v>
      </c>
    </row>
    <row r="25" spans="1:9" ht="51" x14ac:dyDescent="0.2">
      <c r="A25" s="13">
        <f t="shared" si="0"/>
        <v>20</v>
      </c>
      <c r="B25" s="14" t="s">
        <v>175</v>
      </c>
      <c r="C25" s="14" t="s">
        <v>176</v>
      </c>
      <c r="D25" s="14" t="s">
        <v>177</v>
      </c>
      <c r="E25" s="14" t="s">
        <v>28</v>
      </c>
      <c r="F25" s="13" t="s">
        <v>17</v>
      </c>
      <c r="G25" s="13" t="s">
        <v>336</v>
      </c>
      <c r="H25" s="13" t="s">
        <v>337</v>
      </c>
      <c r="I25" s="14" t="s">
        <v>338</v>
      </c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Right="0"/>
  </sheetPr>
  <dimension ref="A1:I31"/>
  <sheetViews>
    <sheetView tabSelected="1" zoomScaleNormal="100" workbookViewId="0">
      <pane ySplit="5" topLeftCell="A27" activePane="bottomLeft" state="frozen"/>
      <selection pane="bottomLeft" activeCell="J1" sqref="J1"/>
    </sheetView>
  </sheetViews>
  <sheetFormatPr defaultColWidth="10.85546875" defaultRowHeight="12.75" x14ac:dyDescent="0.2"/>
  <cols>
    <col min="1" max="1" width="3.28515625" style="1" customWidth="1"/>
    <col min="2" max="2" width="22.7109375" style="2" customWidth="1"/>
    <col min="3" max="3" width="14.85546875" style="2" customWidth="1"/>
    <col min="4" max="4" width="38.42578125" style="2" customWidth="1"/>
    <col min="5" max="5" width="17.28515625" style="2" customWidth="1"/>
    <col min="6" max="6" width="10.28515625" style="2" customWidth="1"/>
    <col min="7" max="7" width="8.42578125" style="2" customWidth="1"/>
    <col min="8" max="8" width="9.85546875" style="2" customWidth="1"/>
    <col min="9" max="9" width="55.28515625" style="2" customWidth="1"/>
    <col min="10" max="11" width="10.85546875" style="2" customWidth="1"/>
    <col min="12" max="16384" width="10.85546875" style="2"/>
  </cols>
  <sheetData>
    <row r="1" spans="1:9" ht="18" customHeight="1" x14ac:dyDescent="0.2">
      <c r="A1" s="8" t="s">
        <v>339</v>
      </c>
    </row>
    <row r="2" spans="1:9" x14ac:dyDescent="0.2">
      <c r="A2" s="7" t="s">
        <v>219</v>
      </c>
    </row>
    <row r="3" spans="1:9" x14ac:dyDescent="0.2">
      <c r="A3" s="7" t="s">
        <v>220</v>
      </c>
    </row>
    <row r="4" spans="1:9" x14ac:dyDescent="0.2">
      <c r="A4" s="7" t="s">
        <v>221</v>
      </c>
    </row>
    <row r="5" spans="1:9" ht="14.1" customHeight="1" x14ac:dyDescent="0.2">
      <c r="A5" s="4" t="s">
        <v>2</v>
      </c>
      <c r="B5" s="3" t="s">
        <v>222</v>
      </c>
      <c r="C5" s="3" t="s">
        <v>4</v>
      </c>
      <c r="D5" s="3" t="s">
        <v>6</v>
      </c>
      <c r="E5" s="3" t="s">
        <v>7</v>
      </c>
      <c r="F5" s="3" t="s">
        <v>8</v>
      </c>
      <c r="G5" s="5" t="s">
        <v>223</v>
      </c>
      <c r="H5" s="5" t="s">
        <v>224</v>
      </c>
      <c r="I5" s="3" t="s">
        <v>225</v>
      </c>
    </row>
    <row r="6" spans="1:9" ht="27.95" customHeight="1" x14ac:dyDescent="0.2">
      <c r="A6" s="9">
        <f t="shared" ref="A6:A31" si="0">ROW()-5</f>
        <v>1</v>
      </c>
      <c r="B6" s="10" t="s">
        <v>12</v>
      </c>
      <c r="C6" s="10" t="s">
        <v>13</v>
      </c>
      <c r="D6" s="10" t="s">
        <v>15</v>
      </c>
      <c r="E6" s="11" t="s">
        <v>16</v>
      </c>
      <c r="F6" s="9" t="s">
        <v>10</v>
      </c>
      <c r="G6" s="13" t="s">
        <v>226</v>
      </c>
      <c r="H6" s="13" t="s">
        <v>227</v>
      </c>
      <c r="I6" s="10" t="s">
        <v>228</v>
      </c>
    </row>
    <row r="7" spans="1:9" ht="27.95" customHeight="1" x14ac:dyDescent="0.2">
      <c r="A7" s="9">
        <f t="shared" si="0"/>
        <v>2</v>
      </c>
      <c r="B7" s="10" t="s">
        <v>24</v>
      </c>
      <c r="C7" s="10" t="s">
        <v>25</v>
      </c>
      <c r="D7" s="10" t="s">
        <v>27</v>
      </c>
      <c r="E7" s="11" t="s">
        <v>28</v>
      </c>
      <c r="F7" s="9" t="s">
        <v>10</v>
      </c>
      <c r="G7" s="13" t="s">
        <v>232</v>
      </c>
      <c r="H7" s="13" t="s">
        <v>233</v>
      </c>
      <c r="I7" s="10" t="s">
        <v>234</v>
      </c>
    </row>
    <row r="8" spans="1:9" ht="51" x14ac:dyDescent="0.2">
      <c r="A8" s="13">
        <f t="shared" si="0"/>
        <v>3</v>
      </c>
      <c r="B8" s="14" t="s">
        <v>56</v>
      </c>
      <c r="C8" s="14" t="s">
        <v>57</v>
      </c>
      <c r="D8" s="14" t="s">
        <v>58</v>
      </c>
      <c r="E8" s="14" t="s">
        <v>16</v>
      </c>
      <c r="F8" s="13" t="s">
        <v>10</v>
      </c>
      <c r="G8" s="13" t="s">
        <v>253</v>
      </c>
      <c r="H8" s="13" t="s">
        <v>254</v>
      </c>
      <c r="I8" s="14" t="s">
        <v>255</v>
      </c>
    </row>
    <row r="9" spans="1:9" ht="38.25" x14ac:dyDescent="0.2">
      <c r="A9" s="13">
        <f t="shared" si="0"/>
        <v>4</v>
      </c>
      <c r="B9" s="14" t="s">
        <v>80</v>
      </c>
      <c r="C9" s="14" t="s">
        <v>72</v>
      </c>
      <c r="D9" s="14" t="s">
        <v>82</v>
      </c>
      <c r="E9" s="14" t="s">
        <v>28</v>
      </c>
      <c r="F9" s="13" t="s">
        <v>10</v>
      </c>
      <c r="G9" s="13" t="s">
        <v>270</v>
      </c>
      <c r="H9" s="13" t="s">
        <v>271</v>
      </c>
      <c r="I9" s="14" t="s">
        <v>272</v>
      </c>
    </row>
    <row r="10" spans="1:9" ht="51" x14ac:dyDescent="0.2">
      <c r="A10" s="13">
        <f t="shared" si="0"/>
        <v>5</v>
      </c>
      <c r="B10" s="14" t="s">
        <v>84</v>
      </c>
      <c r="C10" s="14" t="s">
        <v>85</v>
      </c>
      <c r="D10" s="14" t="s">
        <v>87</v>
      </c>
      <c r="E10" s="14" t="s">
        <v>28</v>
      </c>
      <c r="F10" s="13" t="s">
        <v>10</v>
      </c>
      <c r="G10" s="13" t="s">
        <v>273</v>
      </c>
      <c r="H10" s="13" t="s">
        <v>274</v>
      </c>
      <c r="I10" s="14" t="s">
        <v>275</v>
      </c>
    </row>
    <row r="11" spans="1:9" ht="51" x14ac:dyDescent="0.2">
      <c r="A11" s="13">
        <f t="shared" si="0"/>
        <v>6</v>
      </c>
      <c r="B11" s="14" t="s">
        <v>98</v>
      </c>
      <c r="C11" s="14" t="s">
        <v>99</v>
      </c>
      <c r="D11" s="14" t="s">
        <v>101</v>
      </c>
      <c r="E11" s="14" t="s">
        <v>16</v>
      </c>
      <c r="F11" s="13" t="s">
        <v>10</v>
      </c>
      <c r="G11" s="13" t="s">
        <v>284</v>
      </c>
      <c r="H11" s="13" t="s">
        <v>285</v>
      </c>
      <c r="I11" s="14" t="s">
        <v>286</v>
      </c>
    </row>
    <row r="12" spans="1:9" ht="76.5" x14ac:dyDescent="0.2">
      <c r="A12" s="13">
        <f t="shared" si="0"/>
        <v>7</v>
      </c>
      <c r="B12" s="14" t="s">
        <v>126</v>
      </c>
      <c r="C12" s="14" t="s">
        <v>127</v>
      </c>
      <c r="D12" s="14" t="s">
        <v>128</v>
      </c>
      <c r="E12" s="14" t="s">
        <v>16</v>
      </c>
      <c r="F12" s="13" t="s">
        <v>10</v>
      </c>
      <c r="G12" s="13" t="s">
        <v>303</v>
      </c>
      <c r="H12" s="13" t="s">
        <v>307</v>
      </c>
      <c r="I12" s="14" t="s">
        <v>308</v>
      </c>
    </row>
    <row r="13" spans="1:9" ht="51" x14ac:dyDescent="0.2">
      <c r="A13" s="13">
        <f t="shared" si="0"/>
        <v>8</v>
      </c>
      <c r="B13" s="14" t="s">
        <v>133</v>
      </c>
      <c r="C13" s="14" t="s">
        <v>122</v>
      </c>
      <c r="D13" s="14" t="s">
        <v>135</v>
      </c>
      <c r="E13" s="14" t="s">
        <v>16</v>
      </c>
      <c r="F13" s="13" t="s">
        <v>10</v>
      </c>
      <c r="G13" s="13" t="s">
        <v>303</v>
      </c>
      <c r="H13" s="13" t="s">
        <v>310</v>
      </c>
      <c r="I13" s="14" t="s">
        <v>311</v>
      </c>
    </row>
    <row r="14" spans="1:9" ht="51" x14ac:dyDescent="0.2">
      <c r="A14" s="13">
        <f t="shared" si="0"/>
        <v>9</v>
      </c>
      <c r="B14" s="14" t="s">
        <v>146</v>
      </c>
      <c r="C14" s="14" t="s">
        <v>147</v>
      </c>
      <c r="D14" s="14" t="s">
        <v>148</v>
      </c>
      <c r="E14" s="14" t="s">
        <v>33</v>
      </c>
      <c r="F14" s="13" t="s">
        <v>10</v>
      </c>
      <c r="G14" s="13" t="s">
        <v>316</v>
      </c>
      <c r="H14" s="13" t="s">
        <v>317</v>
      </c>
      <c r="I14" s="14" t="s">
        <v>318</v>
      </c>
    </row>
    <row r="15" spans="1:9" ht="51" x14ac:dyDescent="0.2">
      <c r="A15" s="13">
        <f t="shared" si="0"/>
        <v>10</v>
      </c>
      <c r="B15" s="14" t="s">
        <v>150</v>
      </c>
      <c r="C15" s="14" t="s">
        <v>147</v>
      </c>
      <c r="D15" s="14" t="s">
        <v>151</v>
      </c>
      <c r="E15" s="14" t="s">
        <v>33</v>
      </c>
      <c r="F15" s="13" t="s">
        <v>10</v>
      </c>
      <c r="G15" s="13" t="s">
        <v>316</v>
      </c>
      <c r="H15" s="13" t="s">
        <v>319</v>
      </c>
      <c r="I15" s="14" t="s">
        <v>320</v>
      </c>
    </row>
    <row r="16" spans="1:9" ht="51" x14ac:dyDescent="0.2">
      <c r="A16" s="13">
        <f t="shared" si="0"/>
        <v>11</v>
      </c>
      <c r="B16" s="14" t="s">
        <v>153</v>
      </c>
      <c r="C16" s="14" t="s">
        <v>147</v>
      </c>
      <c r="D16" s="14" t="s">
        <v>155</v>
      </c>
      <c r="E16" s="14" t="s">
        <v>33</v>
      </c>
      <c r="F16" s="13" t="s">
        <v>10</v>
      </c>
      <c r="G16" s="13" t="s">
        <v>316</v>
      </c>
      <c r="H16" s="13" t="s">
        <v>321</v>
      </c>
      <c r="I16" s="14" t="s">
        <v>322</v>
      </c>
    </row>
    <row r="17" spans="1:9" ht="51" x14ac:dyDescent="0.2">
      <c r="A17" s="13">
        <f t="shared" si="0"/>
        <v>12</v>
      </c>
      <c r="B17" s="14" t="s">
        <v>178</v>
      </c>
      <c r="C17" s="14" t="s">
        <v>179</v>
      </c>
      <c r="D17" s="14" t="s">
        <v>180</v>
      </c>
      <c r="E17" s="14" t="s">
        <v>28</v>
      </c>
      <c r="F17" s="13" t="s">
        <v>17</v>
      </c>
      <c r="G17" s="13" t="s">
        <v>340</v>
      </c>
      <c r="H17" s="13" t="s">
        <v>341</v>
      </c>
      <c r="I17" s="14" t="s">
        <v>342</v>
      </c>
    </row>
    <row r="18" spans="1:9" ht="51" x14ac:dyDescent="0.2">
      <c r="A18" s="13">
        <f t="shared" si="0"/>
        <v>13</v>
      </c>
      <c r="B18" s="14" t="s">
        <v>182</v>
      </c>
      <c r="C18" s="14" t="s">
        <v>179</v>
      </c>
      <c r="D18" s="14" t="s">
        <v>183</v>
      </c>
      <c r="E18" s="14" t="s">
        <v>28</v>
      </c>
      <c r="F18" s="13" t="s">
        <v>17</v>
      </c>
      <c r="G18" s="13" t="s">
        <v>340</v>
      </c>
      <c r="H18" s="13" t="s">
        <v>341</v>
      </c>
      <c r="I18" s="14" t="s">
        <v>343</v>
      </c>
    </row>
    <row r="19" spans="1:9" ht="51" x14ac:dyDescent="0.2">
      <c r="A19" s="13">
        <f t="shared" si="0"/>
        <v>14</v>
      </c>
      <c r="B19" s="14" t="s">
        <v>185</v>
      </c>
      <c r="C19" s="14" t="s">
        <v>179</v>
      </c>
      <c r="D19" s="14" t="s">
        <v>186</v>
      </c>
      <c r="E19" s="14" t="s">
        <v>28</v>
      </c>
      <c r="F19" s="13" t="s">
        <v>17</v>
      </c>
      <c r="G19" s="13" t="s">
        <v>344</v>
      </c>
      <c r="H19" s="13" t="s">
        <v>345</v>
      </c>
      <c r="I19" s="14" t="s">
        <v>346</v>
      </c>
    </row>
    <row r="20" spans="1:9" ht="51" x14ac:dyDescent="0.2">
      <c r="A20" s="13">
        <f t="shared" si="0"/>
        <v>15</v>
      </c>
      <c r="B20" s="14" t="s">
        <v>187</v>
      </c>
      <c r="C20" s="14" t="s">
        <v>179</v>
      </c>
      <c r="D20" s="14" t="s">
        <v>188</v>
      </c>
      <c r="E20" s="14" t="s">
        <v>33</v>
      </c>
      <c r="F20" s="13" t="s">
        <v>17</v>
      </c>
      <c r="G20" s="13" t="s">
        <v>347</v>
      </c>
      <c r="H20" s="13" t="s">
        <v>345</v>
      </c>
      <c r="I20" s="14" t="s">
        <v>348</v>
      </c>
    </row>
    <row r="21" spans="1:9" ht="51" x14ac:dyDescent="0.2">
      <c r="A21" s="13">
        <f t="shared" si="0"/>
        <v>16</v>
      </c>
      <c r="B21" s="14" t="s">
        <v>190</v>
      </c>
      <c r="C21" s="14" t="s">
        <v>68</v>
      </c>
      <c r="D21" s="14" t="s">
        <v>191</v>
      </c>
      <c r="E21" s="14" t="s">
        <v>28</v>
      </c>
      <c r="F21" s="13" t="s">
        <v>17</v>
      </c>
      <c r="G21" s="13" t="s">
        <v>226</v>
      </c>
      <c r="H21" s="13" t="s">
        <v>261</v>
      </c>
      <c r="I21" s="14" t="s">
        <v>349</v>
      </c>
    </row>
    <row r="22" spans="1:9" ht="51" x14ac:dyDescent="0.2">
      <c r="A22" s="13">
        <f t="shared" si="0"/>
        <v>17</v>
      </c>
      <c r="B22" s="14" t="s">
        <v>192</v>
      </c>
      <c r="C22" s="14" t="s">
        <v>68</v>
      </c>
      <c r="D22" s="14" t="s">
        <v>193</v>
      </c>
      <c r="E22" s="14" t="s">
        <v>28</v>
      </c>
      <c r="F22" s="13" t="s">
        <v>17</v>
      </c>
      <c r="G22" s="13" t="s">
        <v>226</v>
      </c>
      <c r="H22" s="13" t="s">
        <v>261</v>
      </c>
      <c r="I22" s="14" t="s">
        <v>350</v>
      </c>
    </row>
    <row r="23" spans="1:9" ht="51" x14ac:dyDescent="0.2">
      <c r="A23" s="13">
        <f t="shared" si="0"/>
        <v>18</v>
      </c>
      <c r="B23" s="14" t="s">
        <v>194</v>
      </c>
      <c r="C23" s="14" t="s">
        <v>68</v>
      </c>
      <c r="D23" s="14" t="s">
        <v>196</v>
      </c>
      <c r="E23" s="14" t="s">
        <v>28</v>
      </c>
      <c r="F23" s="13" t="s">
        <v>17</v>
      </c>
      <c r="G23" s="13" t="s">
        <v>336</v>
      </c>
      <c r="H23" s="13" t="s">
        <v>351</v>
      </c>
      <c r="I23" s="14" t="s">
        <v>352</v>
      </c>
    </row>
    <row r="24" spans="1:9" ht="51" x14ac:dyDescent="0.2">
      <c r="A24" s="13">
        <f t="shared" si="0"/>
        <v>19</v>
      </c>
      <c r="B24" s="14" t="s">
        <v>197</v>
      </c>
      <c r="C24" s="14" t="s">
        <v>39</v>
      </c>
      <c r="D24" s="14" t="s">
        <v>198</v>
      </c>
      <c r="E24" s="14" t="s">
        <v>16</v>
      </c>
      <c r="F24" s="13" t="s">
        <v>17</v>
      </c>
      <c r="G24" s="13" t="s">
        <v>232</v>
      </c>
      <c r="H24" s="13" t="s">
        <v>353</v>
      </c>
      <c r="I24" s="14" t="s">
        <v>354</v>
      </c>
    </row>
    <row r="25" spans="1:9" ht="51" x14ac:dyDescent="0.2">
      <c r="A25" s="13">
        <f t="shared" si="0"/>
        <v>20</v>
      </c>
      <c r="B25" s="14" t="s">
        <v>199</v>
      </c>
      <c r="C25" s="14" t="s">
        <v>200</v>
      </c>
      <c r="D25" s="14" t="s">
        <v>201</v>
      </c>
      <c r="E25" s="14" t="s">
        <v>16</v>
      </c>
      <c r="F25" s="13" t="s">
        <v>17</v>
      </c>
      <c r="G25" s="13" t="s">
        <v>336</v>
      </c>
      <c r="H25" s="13" t="s">
        <v>351</v>
      </c>
      <c r="I25" s="14" t="s">
        <v>355</v>
      </c>
    </row>
    <row r="26" spans="1:9" ht="51" x14ac:dyDescent="0.2">
      <c r="A26" s="13">
        <f t="shared" si="0"/>
        <v>21</v>
      </c>
      <c r="B26" s="14" t="s">
        <v>202</v>
      </c>
      <c r="C26" s="14" t="s">
        <v>200</v>
      </c>
      <c r="D26" s="14" t="s">
        <v>203</v>
      </c>
      <c r="E26" s="14" t="s">
        <v>16</v>
      </c>
      <c r="F26" s="13" t="s">
        <v>17</v>
      </c>
      <c r="G26" s="13" t="s">
        <v>336</v>
      </c>
      <c r="H26" s="13" t="s">
        <v>351</v>
      </c>
      <c r="I26" s="14" t="s">
        <v>356</v>
      </c>
    </row>
    <row r="27" spans="1:9" ht="51" x14ac:dyDescent="0.2">
      <c r="A27" s="13">
        <f t="shared" si="0"/>
        <v>22</v>
      </c>
      <c r="B27" s="14" t="s">
        <v>204</v>
      </c>
      <c r="C27" s="14" t="s">
        <v>205</v>
      </c>
      <c r="D27" s="14" t="s">
        <v>207</v>
      </c>
      <c r="E27" s="14" t="s">
        <v>55</v>
      </c>
      <c r="F27" s="13" t="s">
        <v>17</v>
      </c>
      <c r="G27" s="13" t="s">
        <v>328</v>
      </c>
      <c r="H27" s="13" t="s">
        <v>357</v>
      </c>
      <c r="I27" s="14" t="s">
        <v>358</v>
      </c>
    </row>
    <row r="28" spans="1:9" ht="51" x14ac:dyDescent="0.2">
      <c r="A28" s="13">
        <f t="shared" si="0"/>
        <v>23</v>
      </c>
      <c r="B28" s="14" t="s">
        <v>208</v>
      </c>
      <c r="C28" s="14" t="s">
        <v>205</v>
      </c>
      <c r="D28" s="14" t="s">
        <v>209</v>
      </c>
      <c r="E28" s="14" t="s">
        <v>55</v>
      </c>
      <c r="F28" s="13" t="s">
        <v>17</v>
      </c>
      <c r="G28" s="13" t="s">
        <v>328</v>
      </c>
      <c r="H28" s="13" t="s">
        <v>357</v>
      </c>
      <c r="I28" s="14" t="s">
        <v>359</v>
      </c>
    </row>
    <row r="29" spans="1:9" ht="51" x14ac:dyDescent="0.2">
      <c r="A29" s="13">
        <f t="shared" si="0"/>
        <v>24</v>
      </c>
      <c r="B29" s="14" t="s">
        <v>210</v>
      </c>
      <c r="C29" s="14" t="s">
        <v>211</v>
      </c>
      <c r="D29" s="14" t="s">
        <v>212</v>
      </c>
      <c r="E29" s="14" t="s">
        <v>28</v>
      </c>
      <c r="F29" s="13" t="s">
        <v>17</v>
      </c>
      <c r="G29" s="13" t="s">
        <v>360</v>
      </c>
      <c r="H29" s="13" t="s">
        <v>254</v>
      </c>
      <c r="I29" s="14" t="s">
        <v>361</v>
      </c>
    </row>
    <row r="30" spans="1:9" ht="51" x14ac:dyDescent="0.2">
      <c r="A30" s="13">
        <f t="shared" si="0"/>
        <v>25</v>
      </c>
      <c r="B30" s="14" t="s">
        <v>213</v>
      </c>
      <c r="C30" s="14" t="s">
        <v>211</v>
      </c>
      <c r="D30" s="14" t="s">
        <v>214</v>
      </c>
      <c r="E30" s="14" t="s">
        <v>28</v>
      </c>
      <c r="F30" s="13" t="s">
        <v>17</v>
      </c>
      <c r="G30" s="13" t="s">
        <v>360</v>
      </c>
      <c r="H30" s="13" t="s">
        <v>254</v>
      </c>
      <c r="I30" s="14" t="s">
        <v>362</v>
      </c>
    </row>
    <row r="31" spans="1:9" ht="51" x14ac:dyDescent="0.2">
      <c r="A31" s="13">
        <f t="shared" si="0"/>
        <v>26</v>
      </c>
      <c r="B31" s="14" t="s">
        <v>215</v>
      </c>
      <c r="C31" s="14" t="s">
        <v>216</v>
      </c>
      <c r="D31" s="14" t="s">
        <v>217</v>
      </c>
      <c r="E31" s="14" t="s">
        <v>16</v>
      </c>
      <c r="F31" s="13" t="s">
        <v>17</v>
      </c>
      <c r="G31" s="13" t="s">
        <v>260</v>
      </c>
      <c r="H31" s="13" t="s">
        <v>233</v>
      </c>
      <c r="I31" s="14" t="s">
        <v>363</v>
      </c>
    </row>
  </sheetData>
  <dataValidations count="2">
    <dataValidation type="list" allowBlank="1" showInputMessage="1" showErrorMessage="1" sqref="G6:H7">
      <formula1>"Pending, Doing, Done"</formula1>
    </dataValidation>
    <dataValidation type="list" allowBlank="1" showInputMessage="1" showErrorMessage="1" sqref="F6:F7">
      <formula1>"To Do, Doing, Done"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Iter1</vt:lpstr>
      <vt:lpstr>Iter2</vt:lpstr>
      <vt:lpstr>Iter3</vt:lpstr>
      <vt:lpstr>Iter4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THANH TRUNG</cp:lastModifiedBy>
  <dcterms:created xsi:type="dcterms:W3CDTF">2021-07-20T01:09:05Z</dcterms:created>
  <dcterms:modified xsi:type="dcterms:W3CDTF">2026-07-23T15:14:56Z</dcterms:modified>
</cp:coreProperties>
</file>